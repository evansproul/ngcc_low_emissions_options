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U:\Low Emission NGCC Pathways\Model\"/>
    </mc:Choice>
  </mc:AlternateContent>
  <xr:revisionPtr revIDLastSave="0" documentId="13_ncr:1_{1E5BBCF0-EC60-4F1D-83BF-10E57FEDB0C4}" xr6:coauthVersionLast="45" xr6:coauthVersionMax="45" xr10:uidLastSave="{00000000-0000-0000-0000-000000000000}"/>
  <bookViews>
    <workbookView xWindow="32130" yWindow="4860" windowWidth="38700" windowHeight="15435" xr2:uid="{00000000-000D-0000-FFFF-FFFF00000000}"/>
  </bookViews>
  <sheets>
    <sheet name="Techno-Economic Analysis" sheetId="5" r:id="rId1"/>
    <sheet name="Cost Target Evaluation" sheetId="19" r:id="rId2"/>
    <sheet name="Tables in Paper" sheetId="21" r:id="rId3"/>
    <sheet name="Figures in Paper" sheetId="18" r:id="rId4"/>
    <sheet name="Life Cycle Assessment Data" sheetId="9" r:id="rId5"/>
    <sheet name="Social Costs of GHGs" sheetId="1" r:id="rId6"/>
    <sheet name="Model Descriptions" sheetId="20" r:id="rId7"/>
  </sheets>
  <definedNames>
    <definedName name="baseline_biogas_cost">'Techno-Economic Analysis'!$C$77</definedName>
    <definedName name="baseline_ccs_capital_cost">'Techno-Economic Analysis'!$C$78</definedName>
    <definedName name="baseline_ccs_heat_rate">'Techno-Economic Analysis'!$C$74</definedName>
    <definedName name="bio_production_cost">'Techno-Economic Analysis'!$C$15</definedName>
    <definedName name="biogas_cost">'Techno-Economic Analysis'!$C$23</definedName>
    <definedName name="capacity_factor">'Techno-Economic Analysis'!$C$21</definedName>
    <definedName name="CCS_capital_baseline">'Techno-Economic Analysis'!$D$97</definedName>
    <definedName name="ccs_capital_cost">'Techno-Economic Analysis'!$C$24</definedName>
    <definedName name="ccs_variable_cost">'Techno-Economic Analysis'!$D$98</definedName>
    <definedName name="ch4_gwp">'Life Cycle Assessment Data'!$C$66</definedName>
    <definedName name="custom_ccs_capital_cost">'Techno-Economic Analysis'!$D$32</definedName>
    <definedName name="electricity_price">'Techno-Economic Analysis'!$C$20</definedName>
    <definedName name="embedded_emissions_cost">'Techno-Economic Analysis'!$C$17</definedName>
    <definedName name="emissions_cost_gases">'Techno-Economic Analysis'!$C$13</definedName>
    <definedName name="flat_biogas_cost">'Techno-Economic Analysis'!$D$31</definedName>
    <definedName name="flat_capacity_factor">'Techno-Economic Analysis'!$D$29</definedName>
    <definedName name="flat_electricity_price">'Techno-Economic Analysis'!$D$28</definedName>
    <definedName name="flat_ghg_cost">'Techno-Economic Analysis'!$D$27</definedName>
    <definedName name="flat_natural_gas_cost">'Techno-Economic Analysis'!$D$30</definedName>
    <definedName name="fuel_energy_density">'Techno-Economic Analysis'!$C$75</definedName>
    <definedName name="fuel_energy_per_mass">'Techno-Economic Analysis'!$C$76</definedName>
    <definedName name="ghg_costs">'Techno-Economic Analysis'!$C$12</definedName>
    <definedName name="heat_rate">'Techno-Economic Analysis'!$C$73</definedName>
    <definedName name="heat_rate_CCS">'Techno-Economic Analysis'!$D$33</definedName>
    <definedName name="ignore_past_costs">'Techno-Economic Analysis'!$C$10</definedName>
    <definedName name="n2o_gwp">'Life Cycle Assessment Data'!$C$67</definedName>
    <definedName name="natural_gas_cost">'Techno-Economic Analysis'!$C$22</definedName>
    <definedName name="ng_combustion_cost">'Techno-Economic Analysis'!$C$16</definedName>
    <definedName name="ng_production_cost">'Techno-Economic Analysis'!$C$14</definedName>
    <definedName name="npv">'Techno-Economic Analysis'!$C$270</definedName>
    <definedName name="npv_summary">'Techno-Economic Analysis'!$C$67:$AW$67</definedName>
    <definedName name="one_biogas_result">'Cost Target Evaluation'!$G$33</definedName>
    <definedName name="one_fuel_type">'Cost Target Evaluation'!$H$39</definedName>
    <definedName name="one_npv_summary_biogas">'Cost Target Evaluation'!$F$10:$AM$10</definedName>
    <definedName name="one_npv_summary_biogas_ccs">'Cost Target Evaluation'!$F$11:$AM$11</definedName>
    <definedName name="one_npv_summary_normal">'Cost Target Evaluation'!$F$7:$AM$7</definedName>
    <definedName name="one_npv_summary_normal_ccs">'Cost Target Evaluation'!$F$8:$AM$8</definedName>
    <definedName name="one_npv_summary_shutdown">'Cost Target Evaluation'!$F$9:$AM$9</definedName>
    <definedName name="pathway">'Techno-Economic Analysis'!$C$8</definedName>
    <definedName name="result">'Techno-Economic Analysis'!$C$38</definedName>
    <definedName name="result_type">'Techno-Economic Analysis'!$B$38</definedName>
    <definedName name="result_unit">'Techno-Economic Analysis'!$C$37</definedName>
    <definedName name="seq_credit">'Techno-Economic Analysis'!$C$18</definedName>
    <definedName name="three_biogas_co2_tax">'Cost Target Evaluation'!#REF!</definedName>
    <definedName name="three_biogas_cost">'Cost Target Evaluation'!#REF!</definedName>
    <definedName name="three_biogas_no_ghg_costs">'Cost Target Evaluation'!#REF!</definedName>
    <definedName name="three_biogas_social_costs">'Cost Target Evaluation'!#REF!</definedName>
    <definedName name="three_capacity_factor">'Cost Target Evaluation'!#REF!</definedName>
    <definedName name="three_ccs_capital_cost">'Cost Target Evaluation'!#REF!</definedName>
    <definedName name="three_electricity_price">'Cost Target Evaluation'!#REF!</definedName>
    <definedName name="three_ghg_costs">'Cost Target Evaluation'!#REF!</definedName>
    <definedName name="three_ignore_past_costs">'Cost Target Evaluation'!#REF!</definedName>
    <definedName name="three_natural_gas_cost">'Cost Target Evaluation'!#REF!</definedName>
    <definedName name="three_normal_co2_tax">'Cost Target Evaluation'!#REF!</definedName>
    <definedName name="three_normal_no_ghg_costs">'Cost Target Evaluation'!#REF!</definedName>
    <definedName name="three_normal_social_costs">'Cost Target Evaluation'!#REF!</definedName>
    <definedName name="three_pathway">'Cost Target Evaluation'!#REF!</definedName>
    <definedName name="three_seq_credit">'Cost Target Evaluation'!#REF!</definedName>
    <definedName name="three_year_of_decision">'Cost Target Evaluation'!#REF!</definedName>
    <definedName name="two_biogas_cost">'Cost Target Evaluation'!#REF!</definedName>
    <definedName name="two_capacity_factor">'Cost Target Evaluation'!#REF!</definedName>
    <definedName name="two_ccs_capital_cost">'Cost Target Evaluation'!#REF!</definedName>
    <definedName name="two_co2_tax">'Cost Target Evaluation'!#REF!</definedName>
    <definedName name="two_electricity_price">'Cost Target Evaluation'!#REF!</definedName>
    <definedName name="two_ghg_costs">'Cost Target Evaluation'!#REF!</definedName>
    <definedName name="two_ignore_past_costs">'Cost Target Evaluation'!#REF!</definedName>
    <definedName name="two_natural_gas_cost">'Cost Target Evaluation'!#REF!</definedName>
    <definedName name="two_no_ghg_costs">'Cost Target Evaluation'!#REF!</definedName>
    <definedName name="two_pathway">'Cost Target Evaluation'!#REF!</definedName>
    <definedName name="two_seq_credit">'Cost Target Evaluation'!#REF!</definedName>
    <definedName name="two_social_costs">'Cost Target Evaluation'!#REF!</definedName>
    <definedName name="two_type">'Cost Target Evaluation'!#REF!</definedName>
    <definedName name="two_year_of_decision">'Cost Target Evaluation'!#REF!</definedName>
    <definedName name="type">'Techno-Economic Analysis'!$C$7</definedName>
    <definedName name="year_of_decision">'Techno-Economic Analysis'!$C$9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" i="21" l="1"/>
  <c r="J21" i="21"/>
  <c r="J20" i="21"/>
  <c r="G17" i="21"/>
  <c r="I17" i="21"/>
  <c r="J17" i="21"/>
  <c r="G16" i="21"/>
  <c r="I16" i="21"/>
  <c r="J16" i="21"/>
  <c r="G15" i="21"/>
  <c r="J15" i="21"/>
  <c r="H12" i="21"/>
  <c r="J12" i="21"/>
  <c r="G7" i="21"/>
  <c r="H7" i="21"/>
  <c r="J7" i="21"/>
  <c r="H11" i="21"/>
  <c r="I11" i="21"/>
  <c r="J11" i="21"/>
  <c r="G6" i="21"/>
  <c r="H6" i="21"/>
  <c r="I6" i="21"/>
  <c r="J6" i="21"/>
  <c r="H10" i="21"/>
  <c r="I10" i="21"/>
  <c r="J10" i="21"/>
  <c r="G5" i="21"/>
  <c r="H5" i="21"/>
  <c r="I5" i="21"/>
  <c r="J5" i="21"/>
  <c r="I16" i="9"/>
  <c r="M14" i="9"/>
  <c r="E116" i="5"/>
  <c r="E128" i="5"/>
  <c r="E134" i="5"/>
  <c r="E129" i="5"/>
  <c r="E135" i="5"/>
  <c r="E115" i="5"/>
  <c r="E131" i="5"/>
  <c r="E137" i="5"/>
  <c r="E132" i="5"/>
  <c r="E138" i="5"/>
  <c r="E136" i="5"/>
  <c r="E139" i="5"/>
  <c r="H245" i="5"/>
  <c r="E141" i="5"/>
  <c r="E142" i="5"/>
  <c r="E125" i="5"/>
  <c r="E144" i="5"/>
  <c r="E145" i="5"/>
  <c r="E146" i="5"/>
  <c r="H246" i="5"/>
  <c r="H75" i="9"/>
  <c r="H76" i="9"/>
  <c r="H153" i="5"/>
  <c r="H154" i="5"/>
  <c r="H155" i="5"/>
  <c r="H81" i="9"/>
  <c r="H80" i="9"/>
  <c r="H156" i="5"/>
  <c r="C54" i="9"/>
  <c r="H82" i="9"/>
  <c r="H158" i="5"/>
  <c r="H83" i="9"/>
  <c r="H159" i="5"/>
  <c r="H152" i="5"/>
  <c r="H157" i="5"/>
  <c r="H210" i="5"/>
  <c r="H185" i="5"/>
  <c r="H211" i="5"/>
  <c r="H212" i="5"/>
  <c r="H248" i="5"/>
  <c r="L16" i="9"/>
  <c r="H113" i="9"/>
  <c r="H164" i="5"/>
  <c r="H115" i="9"/>
  <c r="H114" i="9"/>
  <c r="H165" i="5"/>
  <c r="H167" i="5"/>
  <c r="H117" i="9"/>
  <c r="H168" i="5"/>
  <c r="H161" i="5"/>
  <c r="H109" i="9"/>
  <c r="H110" i="9"/>
  <c r="H162" i="5"/>
  <c r="H163" i="5"/>
  <c r="H214" i="5"/>
  <c r="H215" i="5"/>
  <c r="H216" i="5"/>
  <c r="H249" i="5"/>
  <c r="H173" i="5"/>
  <c r="H98" i="9"/>
  <c r="H97" i="9"/>
  <c r="H174" i="5"/>
  <c r="H176" i="5"/>
  <c r="H100" i="9"/>
  <c r="H177" i="5"/>
  <c r="H170" i="5"/>
  <c r="H92" i="9"/>
  <c r="H93" i="9"/>
  <c r="H171" i="5"/>
  <c r="H172" i="5"/>
  <c r="H218" i="5"/>
  <c r="H219" i="5"/>
  <c r="H220" i="5"/>
  <c r="H250" i="5"/>
  <c r="F238" i="5"/>
  <c r="C225" i="5"/>
  <c r="G238" i="5"/>
  <c r="D225" i="5"/>
  <c r="H238" i="5"/>
  <c r="E225" i="5"/>
  <c r="I238" i="5"/>
  <c r="F225" i="5"/>
  <c r="J238" i="5"/>
  <c r="G225" i="5"/>
  <c r="D97" i="5"/>
  <c r="K238" i="5"/>
  <c r="H225" i="5"/>
  <c r="L238" i="5"/>
  <c r="I225" i="5"/>
  <c r="M238" i="5"/>
  <c r="J225" i="5"/>
  <c r="N238" i="5"/>
  <c r="K225" i="5"/>
  <c r="O238" i="5"/>
  <c r="L225" i="5"/>
  <c r="P238" i="5"/>
  <c r="M225" i="5"/>
  <c r="Q238" i="5"/>
  <c r="N225" i="5"/>
  <c r="R238" i="5"/>
  <c r="O225" i="5"/>
  <c r="S238" i="5"/>
  <c r="P225" i="5"/>
  <c r="T238" i="5"/>
  <c r="Q225" i="5"/>
  <c r="U238" i="5"/>
  <c r="R225" i="5"/>
  <c r="V238" i="5"/>
  <c r="S225" i="5"/>
  <c r="W238" i="5"/>
  <c r="T225" i="5"/>
  <c r="X238" i="5"/>
  <c r="U225" i="5"/>
  <c r="Y238" i="5"/>
  <c r="V225" i="5"/>
  <c r="Z238" i="5"/>
  <c r="W225" i="5"/>
  <c r="AA238" i="5"/>
  <c r="X225" i="5"/>
  <c r="AB238" i="5"/>
  <c r="Y225" i="5"/>
  <c r="AC238" i="5"/>
  <c r="Z225" i="5"/>
  <c r="AD238" i="5"/>
  <c r="AA225" i="5"/>
  <c r="AE238" i="5"/>
  <c r="AB225" i="5"/>
  <c r="AF238" i="5"/>
  <c r="AC225" i="5"/>
  <c r="AG238" i="5"/>
  <c r="AD225" i="5"/>
  <c r="AH238" i="5"/>
  <c r="AE225" i="5"/>
  <c r="AI238" i="5"/>
  <c r="AF225" i="5"/>
  <c r="AJ238" i="5"/>
  <c r="AG225" i="5"/>
  <c r="C224" i="5"/>
  <c r="H256" i="5"/>
  <c r="H257" i="5"/>
  <c r="H239" i="5"/>
  <c r="G239" i="5"/>
  <c r="F239" i="5"/>
  <c r="F241" i="5"/>
  <c r="G240" i="5"/>
  <c r="G241" i="5"/>
  <c r="H240" i="5"/>
  <c r="H253" i="5"/>
  <c r="C100" i="5"/>
  <c r="G234" i="5"/>
  <c r="F234" i="5"/>
  <c r="F235" i="5"/>
  <c r="F236" i="5"/>
  <c r="G235" i="5"/>
  <c r="G236" i="5"/>
  <c r="H235" i="5"/>
  <c r="H260" i="5"/>
  <c r="I49" i="19"/>
  <c r="J49" i="19"/>
  <c r="K49" i="19"/>
  <c r="L49" i="19"/>
  <c r="M49" i="19"/>
  <c r="N49" i="19"/>
  <c r="O49" i="19"/>
  <c r="P49" i="19"/>
  <c r="Q49" i="19"/>
  <c r="R49" i="19"/>
  <c r="H49" i="19"/>
  <c r="AK179" i="18"/>
  <c r="AL179" i="18"/>
  <c r="AM179" i="18"/>
  <c r="AN179" i="18"/>
  <c r="AO179" i="18"/>
  <c r="AP179" i="18"/>
  <c r="AQ179" i="18"/>
  <c r="D16" i="5"/>
  <c r="D15" i="5"/>
  <c r="D13" i="5"/>
  <c r="D20" i="5"/>
  <c r="D92" i="9"/>
  <c r="D93" i="9"/>
  <c r="D171" i="5"/>
  <c r="E92" i="9"/>
  <c r="E93" i="9"/>
  <c r="E171" i="5"/>
  <c r="F92" i="9"/>
  <c r="F93" i="9"/>
  <c r="F171" i="5"/>
  <c r="G92" i="9"/>
  <c r="G93" i="9"/>
  <c r="G171" i="5"/>
  <c r="I92" i="9"/>
  <c r="I93" i="9"/>
  <c r="I171" i="5"/>
  <c r="J92" i="9"/>
  <c r="J93" i="9"/>
  <c r="J171" i="5"/>
  <c r="K92" i="9"/>
  <c r="K93" i="9"/>
  <c r="K171" i="5"/>
  <c r="L92" i="9"/>
  <c r="L93" i="9"/>
  <c r="L171" i="5"/>
  <c r="M92" i="9"/>
  <c r="M93" i="9"/>
  <c r="M171" i="5"/>
  <c r="N92" i="9"/>
  <c r="N93" i="9"/>
  <c r="N171" i="5"/>
  <c r="O92" i="9"/>
  <c r="O93" i="9"/>
  <c r="O171" i="5"/>
  <c r="P92" i="9"/>
  <c r="P93" i="9"/>
  <c r="P171" i="5"/>
  <c r="Q92" i="9"/>
  <c r="Q93" i="9"/>
  <c r="Q171" i="5"/>
  <c r="R92" i="9"/>
  <c r="R93" i="9"/>
  <c r="R171" i="5"/>
  <c r="S92" i="9"/>
  <c r="S93" i="9"/>
  <c r="S171" i="5"/>
  <c r="T92" i="9"/>
  <c r="T93" i="9"/>
  <c r="T171" i="5"/>
  <c r="U92" i="9"/>
  <c r="U93" i="9"/>
  <c r="U171" i="5"/>
  <c r="V92" i="9"/>
  <c r="V93" i="9"/>
  <c r="V171" i="5"/>
  <c r="W92" i="9"/>
  <c r="W93" i="9"/>
  <c r="W171" i="5"/>
  <c r="X92" i="9"/>
  <c r="X93" i="9"/>
  <c r="X171" i="5"/>
  <c r="Y92" i="9"/>
  <c r="Y93" i="9"/>
  <c r="Y171" i="5"/>
  <c r="Z92" i="9"/>
  <c r="Z93" i="9"/>
  <c r="Z171" i="5"/>
  <c r="AA92" i="9"/>
  <c r="AA93" i="9"/>
  <c r="AA171" i="5"/>
  <c r="AB92" i="9"/>
  <c r="AB93" i="9"/>
  <c r="AB171" i="5"/>
  <c r="AC92" i="9"/>
  <c r="AC93" i="9"/>
  <c r="AC171" i="5"/>
  <c r="AD92" i="9"/>
  <c r="AD93" i="9"/>
  <c r="AD171" i="5"/>
  <c r="AE92" i="9"/>
  <c r="AE93" i="9"/>
  <c r="AE171" i="5"/>
  <c r="AF92" i="9"/>
  <c r="AF93" i="9"/>
  <c r="AF171" i="5"/>
  <c r="AG92" i="9"/>
  <c r="AG93" i="9"/>
  <c r="AG171" i="5"/>
  <c r="AH92" i="9"/>
  <c r="AH93" i="9"/>
  <c r="AH171" i="5"/>
  <c r="AI92" i="9"/>
  <c r="AI93" i="9"/>
  <c r="AI171" i="5"/>
  <c r="AJ92" i="9"/>
  <c r="AJ171" i="5"/>
  <c r="C92" i="9"/>
  <c r="C93" i="9"/>
  <c r="C171" i="5"/>
  <c r="D109" i="9"/>
  <c r="D110" i="9"/>
  <c r="D162" i="5"/>
  <c r="E109" i="9"/>
  <c r="E110" i="9"/>
  <c r="E162" i="5"/>
  <c r="F109" i="9"/>
  <c r="F110" i="9"/>
  <c r="F162" i="5"/>
  <c r="G109" i="9"/>
  <c r="G110" i="9"/>
  <c r="G162" i="5"/>
  <c r="I109" i="9"/>
  <c r="I110" i="9"/>
  <c r="I162" i="5"/>
  <c r="J109" i="9"/>
  <c r="J110" i="9"/>
  <c r="J162" i="5"/>
  <c r="K109" i="9"/>
  <c r="K110" i="9"/>
  <c r="K162" i="5"/>
  <c r="L109" i="9"/>
  <c r="L110" i="9"/>
  <c r="L162" i="5"/>
  <c r="M109" i="9"/>
  <c r="M110" i="9"/>
  <c r="M162" i="5"/>
  <c r="N109" i="9"/>
  <c r="N110" i="9"/>
  <c r="N162" i="5"/>
  <c r="O109" i="9"/>
  <c r="O110" i="9"/>
  <c r="O162" i="5"/>
  <c r="P109" i="9"/>
  <c r="P110" i="9"/>
  <c r="P162" i="5"/>
  <c r="Q109" i="9"/>
  <c r="Q110" i="9"/>
  <c r="Q162" i="5"/>
  <c r="R109" i="9"/>
  <c r="R110" i="9"/>
  <c r="R162" i="5"/>
  <c r="S109" i="9"/>
  <c r="S110" i="9"/>
  <c r="S162" i="5"/>
  <c r="T109" i="9"/>
  <c r="T110" i="9"/>
  <c r="T162" i="5"/>
  <c r="U109" i="9"/>
  <c r="U110" i="9"/>
  <c r="U162" i="5"/>
  <c r="V109" i="9"/>
  <c r="V110" i="9"/>
  <c r="V162" i="5"/>
  <c r="W109" i="9"/>
  <c r="W110" i="9"/>
  <c r="W162" i="5"/>
  <c r="X109" i="9"/>
  <c r="X110" i="9"/>
  <c r="X162" i="5"/>
  <c r="Y109" i="9"/>
  <c r="Y110" i="9"/>
  <c r="Y162" i="5"/>
  <c r="Z109" i="9"/>
  <c r="Z110" i="9"/>
  <c r="Z162" i="5"/>
  <c r="AA109" i="9"/>
  <c r="AA110" i="9"/>
  <c r="AA162" i="5"/>
  <c r="AB109" i="9"/>
  <c r="AB110" i="9"/>
  <c r="AB162" i="5"/>
  <c r="AC109" i="9"/>
  <c r="AC110" i="9"/>
  <c r="AC162" i="5"/>
  <c r="AD109" i="9"/>
  <c r="AD110" i="9"/>
  <c r="AD162" i="5"/>
  <c r="AE109" i="9"/>
  <c r="AE110" i="9"/>
  <c r="AE162" i="5"/>
  <c r="AF109" i="9"/>
  <c r="AF110" i="9"/>
  <c r="AF162" i="5"/>
  <c r="AG109" i="9"/>
  <c r="AG110" i="9"/>
  <c r="AG162" i="5"/>
  <c r="AH109" i="9"/>
  <c r="AH110" i="9"/>
  <c r="AH162" i="5"/>
  <c r="AI109" i="9"/>
  <c r="AI110" i="9"/>
  <c r="AI162" i="5"/>
  <c r="AJ109" i="9"/>
  <c r="AJ162" i="5"/>
  <c r="C109" i="9"/>
  <c r="C110" i="9"/>
  <c r="C162" i="5"/>
  <c r="AJ75" i="9"/>
  <c r="AJ153" i="5"/>
  <c r="D75" i="9"/>
  <c r="D76" i="9"/>
  <c r="D153" i="5"/>
  <c r="E75" i="9"/>
  <c r="E76" i="9"/>
  <c r="E153" i="5"/>
  <c r="F75" i="9"/>
  <c r="F76" i="9"/>
  <c r="F153" i="5"/>
  <c r="G75" i="9"/>
  <c r="G76" i="9"/>
  <c r="G153" i="5"/>
  <c r="I75" i="9"/>
  <c r="I76" i="9"/>
  <c r="I153" i="5"/>
  <c r="J75" i="9"/>
  <c r="J76" i="9"/>
  <c r="J153" i="5"/>
  <c r="K75" i="9"/>
  <c r="K76" i="9"/>
  <c r="K153" i="5"/>
  <c r="L75" i="9"/>
  <c r="L76" i="9"/>
  <c r="L153" i="5"/>
  <c r="M75" i="9"/>
  <c r="M76" i="9"/>
  <c r="M153" i="5"/>
  <c r="N75" i="9"/>
  <c r="N76" i="9"/>
  <c r="N153" i="5"/>
  <c r="O75" i="9"/>
  <c r="O76" i="9"/>
  <c r="O153" i="5"/>
  <c r="P75" i="9"/>
  <c r="P76" i="9"/>
  <c r="P153" i="5"/>
  <c r="Q75" i="9"/>
  <c r="Q76" i="9"/>
  <c r="Q153" i="5"/>
  <c r="R75" i="9"/>
  <c r="R76" i="9"/>
  <c r="R153" i="5"/>
  <c r="S75" i="9"/>
  <c r="S76" i="9"/>
  <c r="S153" i="5"/>
  <c r="T75" i="9"/>
  <c r="T76" i="9"/>
  <c r="T153" i="5"/>
  <c r="U75" i="9"/>
  <c r="U76" i="9"/>
  <c r="U153" i="5"/>
  <c r="V75" i="9"/>
  <c r="V76" i="9"/>
  <c r="V153" i="5"/>
  <c r="W75" i="9"/>
  <c r="W76" i="9"/>
  <c r="W153" i="5"/>
  <c r="X75" i="9"/>
  <c r="X76" i="9"/>
  <c r="X153" i="5"/>
  <c r="Y75" i="9"/>
  <c r="Y76" i="9"/>
  <c r="Y153" i="5"/>
  <c r="Z75" i="9"/>
  <c r="Z76" i="9"/>
  <c r="Z153" i="5"/>
  <c r="AA75" i="9"/>
  <c r="AA76" i="9"/>
  <c r="AA153" i="5"/>
  <c r="AB75" i="9"/>
  <c r="AB76" i="9"/>
  <c r="AB153" i="5"/>
  <c r="AC75" i="9"/>
  <c r="AC76" i="9"/>
  <c r="AC153" i="5"/>
  <c r="AD75" i="9"/>
  <c r="AD76" i="9"/>
  <c r="AD153" i="5"/>
  <c r="AE75" i="9"/>
  <c r="AE76" i="9"/>
  <c r="AE153" i="5"/>
  <c r="AF75" i="9"/>
  <c r="AF76" i="9"/>
  <c r="AF153" i="5"/>
  <c r="AG75" i="9"/>
  <c r="AG76" i="9"/>
  <c r="AG153" i="5"/>
  <c r="AH75" i="9"/>
  <c r="AH76" i="9"/>
  <c r="AH153" i="5"/>
  <c r="AI75" i="9"/>
  <c r="AI76" i="9"/>
  <c r="AI153" i="5"/>
  <c r="C75" i="9"/>
  <c r="C76" i="9"/>
  <c r="C153" i="5"/>
  <c r="F170" i="5"/>
  <c r="G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F161" i="5"/>
  <c r="G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F152" i="5"/>
  <c r="G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D17" i="5"/>
  <c r="D14" i="5"/>
  <c r="AU101" i="5"/>
  <c r="G182" i="5"/>
  <c r="G184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D117" i="9"/>
  <c r="E117" i="9"/>
  <c r="F117" i="9"/>
  <c r="G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D114" i="9"/>
  <c r="E114" i="9"/>
  <c r="D115" i="9"/>
  <c r="E115" i="9"/>
  <c r="D100" i="9"/>
  <c r="E100" i="9"/>
  <c r="F100" i="9"/>
  <c r="G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D97" i="9"/>
  <c r="E97" i="9"/>
  <c r="D98" i="9"/>
  <c r="E98" i="9"/>
  <c r="C117" i="9"/>
  <c r="C100" i="9"/>
  <c r="C115" i="9"/>
  <c r="C114" i="9"/>
  <c r="C98" i="9"/>
  <c r="C97" i="9"/>
  <c r="D83" i="9"/>
  <c r="E83" i="9"/>
  <c r="C83" i="9"/>
  <c r="D80" i="9"/>
  <c r="E80" i="9"/>
  <c r="D81" i="9"/>
  <c r="E81" i="9"/>
  <c r="C81" i="9"/>
  <c r="C80" i="9"/>
  <c r="G243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F243" i="5"/>
  <c r="D24" i="5"/>
  <c r="D7" i="5"/>
  <c r="D23" i="5"/>
  <c r="D22" i="5"/>
  <c r="D21" i="5"/>
  <c r="D12" i="5"/>
  <c r="D18" i="5"/>
  <c r="D10" i="5"/>
  <c r="D9" i="5"/>
  <c r="D8" i="5"/>
  <c r="D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C125" i="5"/>
  <c r="C126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C123" i="5"/>
  <c r="C122" i="5"/>
  <c r="D132" i="5"/>
  <c r="F132" i="5"/>
  <c r="G132" i="5"/>
  <c r="C132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D129" i="5"/>
  <c r="C129" i="5"/>
  <c r="AB142" i="5"/>
  <c r="P142" i="5"/>
  <c r="H142" i="5"/>
  <c r="D145" i="5"/>
  <c r="AE142" i="5"/>
  <c r="W142" i="5"/>
  <c r="O142" i="5"/>
  <c r="G142" i="5"/>
  <c r="D142" i="5"/>
  <c r="AD142" i="5"/>
  <c r="Z142" i="5"/>
  <c r="V142" i="5"/>
  <c r="R142" i="5"/>
  <c r="N142" i="5"/>
  <c r="J142" i="5"/>
  <c r="F142" i="5"/>
  <c r="F145" i="5"/>
  <c r="AF142" i="5"/>
  <c r="X142" i="5"/>
  <c r="T142" i="5"/>
  <c r="L142" i="5"/>
  <c r="C145" i="5"/>
  <c r="C142" i="5"/>
  <c r="AA142" i="5"/>
  <c r="S142" i="5"/>
  <c r="K142" i="5"/>
  <c r="G145" i="5"/>
  <c r="AG142" i="5"/>
  <c r="AC142" i="5"/>
  <c r="Y142" i="5"/>
  <c r="U142" i="5"/>
  <c r="Q142" i="5"/>
  <c r="M142" i="5"/>
  <c r="I142" i="5"/>
  <c r="D115" i="5"/>
  <c r="D131" i="5"/>
  <c r="F115" i="5"/>
  <c r="F131" i="5"/>
  <c r="G115" i="5"/>
  <c r="G131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D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C112" i="5"/>
  <c r="D111" i="5"/>
  <c r="E111" i="5"/>
  <c r="F111" i="5"/>
  <c r="G111" i="5"/>
  <c r="G136" i="5"/>
  <c r="H111" i="5"/>
  <c r="H136" i="5"/>
  <c r="I111" i="5"/>
  <c r="I136" i="5"/>
  <c r="J111" i="5"/>
  <c r="J136" i="5"/>
  <c r="K111" i="5"/>
  <c r="L111" i="5"/>
  <c r="L136" i="5"/>
  <c r="M111" i="5"/>
  <c r="M136" i="5"/>
  <c r="N111" i="5"/>
  <c r="N136" i="5"/>
  <c r="O111" i="5"/>
  <c r="O136" i="5"/>
  <c r="P111" i="5"/>
  <c r="P136" i="5"/>
  <c r="Q111" i="5"/>
  <c r="Q136" i="5"/>
  <c r="R111" i="5"/>
  <c r="R136" i="5"/>
  <c r="S111" i="5"/>
  <c r="S136" i="5"/>
  <c r="T111" i="5"/>
  <c r="T136" i="5"/>
  <c r="U111" i="5"/>
  <c r="U136" i="5"/>
  <c r="V111" i="5"/>
  <c r="V136" i="5"/>
  <c r="W111" i="5"/>
  <c r="W136" i="5"/>
  <c r="X111" i="5"/>
  <c r="Y111" i="5"/>
  <c r="Y136" i="5"/>
  <c r="Z111" i="5"/>
  <c r="Z136" i="5"/>
  <c r="AA111" i="5"/>
  <c r="AA136" i="5"/>
  <c r="AB111" i="5"/>
  <c r="AB136" i="5"/>
  <c r="AC111" i="5"/>
  <c r="AC136" i="5"/>
  <c r="AD111" i="5"/>
  <c r="AD136" i="5"/>
  <c r="AE111" i="5"/>
  <c r="AE136" i="5"/>
  <c r="AF111" i="5"/>
  <c r="AG111" i="5"/>
  <c r="AG136" i="5"/>
  <c r="C111" i="5"/>
  <c r="C136" i="5"/>
  <c r="C116" i="5"/>
  <c r="C115" i="5"/>
  <c r="C131" i="5"/>
  <c r="D136" i="5"/>
  <c r="F136" i="5"/>
  <c r="K136" i="5"/>
  <c r="X136" i="5"/>
  <c r="AF136" i="5"/>
  <c r="D186" i="5"/>
  <c r="D206" i="5"/>
  <c r="E186" i="5"/>
  <c r="E196" i="5"/>
  <c r="F186" i="5"/>
  <c r="F196" i="5"/>
  <c r="G186" i="5"/>
  <c r="G206" i="5"/>
  <c r="H186" i="5"/>
  <c r="H206" i="5"/>
  <c r="I186" i="5"/>
  <c r="I206" i="5"/>
  <c r="J186" i="5"/>
  <c r="J206" i="5"/>
  <c r="K186" i="5"/>
  <c r="K206" i="5"/>
  <c r="L186" i="5"/>
  <c r="L206" i="5"/>
  <c r="M186" i="5"/>
  <c r="M206" i="5"/>
  <c r="N186" i="5"/>
  <c r="O186" i="5"/>
  <c r="O206" i="5"/>
  <c r="P186" i="5"/>
  <c r="P206" i="5"/>
  <c r="Q186" i="5"/>
  <c r="Q206" i="5"/>
  <c r="R186" i="5"/>
  <c r="R206" i="5"/>
  <c r="S186" i="5"/>
  <c r="S206" i="5"/>
  <c r="T186" i="5"/>
  <c r="T206" i="5"/>
  <c r="U186" i="5"/>
  <c r="U196" i="5"/>
  <c r="V186" i="5"/>
  <c r="V196" i="5"/>
  <c r="W186" i="5"/>
  <c r="W206" i="5"/>
  <c r="X186" i="5"/>
  <c r="X206" i="5"/>
  <c r="Y186" i="5"/>
  <c r="Y196" i="5"/>
  <c r="Z186" i="5"/>
  <c r="Z206" i="5"/>
  <c r="AA186" i="5"/>
  <c r="AA206" i="5"/>
  <c r="AB186" i="5"/>
  <c r="AB206" i="5"/>
  <c r="AC186" i="5"/>
  <c r="AC206" i="5"/>
  <c r="AD186" i="5"/>
  <c r="AE186" i="5"/>
  <c r="AE206" i="5"/>
  <c r="AF186" i="5"/>
  <c r="AF206" i="5"/>
  <c r="AG186" i="5"/>
  <c r="AG206" i="5"/>
  <c r="AH186" i="5"/>
  <c r="AH206" i="5"/>
  <c r="AI186" i="5"/>
  <c r="AI206" i="5"/>
  <c r="AJ186" i="5"/>
  <c r="AJ206" i="5"/>
  <c r="C186" i="5"/>
  <c r="C196" i="5"/>
  <c r="C203" i="5"/>
  <c r="D203" i="5"/>
  <c r="E203" i="5"/>
  <c r="F203" i="5"/>
  <c r="C204" i="5"/>
  <c r="D204" i="5"/>
  <c r="F204" i="5"/>
  <c r="D202" i="5"/>
  <c r="E202" i="5"/>
  <c r="F202" i="5"/>
  <c r="C202" i="5"/>
  <c r="C193" i="5"/>
  <c r="D193" i="5"/>
  <c r="E193" i="5"/>
  <c r="F193" i="5"/>
  <c r="C194" i="5"/>
  <c r="D194" i="5"/>
  <c r="F194" i="5"/>
  <c r="M196" i="5"/>
  <c r="D192" i="5"/>
  <c r="E192" i="5"/>
  <c r="F192" i="5"/>
  <c r="C192" i="5"/>
  <c r="AJ185" i="5"/>
  <c r="AJ195" i="5"/>
  <c r="AI185" i="5"/>
  <c r="AI195" i="5"/>
  <c r="AH185" i="5"/>
  <c r="AH205" i="5"/>
  <c r="AG185" i="5"/>
  <c r="AF185" i="5"/>
  <c r="AF195" i="5"/>
  <c r="AE185" i="5"/>
  <c r="AE195" i="5"/>
  <c r="AD185" i="5"/>
  <c r="AD205" i="5"/>
  <c r="AC185" i="5"/>
  <c r="AB185" i="5"/>
  <c r="AB195" i="5"/>
  <c r="AA185" i="5"/>
  <c r="AA195" i="5"/>
  <c r="Z185" i="5"/>
  <c r="Z205" i="5"/>
  <c r="Y185" i="5"/>
  <c r="X185" i="5"/>
  <c r="X195" i="5"/>
  <c r="W185" i="5"/>
  <c r="W195" i="5"/>
  <c r="V185" i="5"/>
  <c r="V205" i="5"/>
  <c r="U185" i="5"/>
  <c r="T185" i="5"/>
  <c r="T195" i="5"/>
  <c r="S185" i="5"/>
  <c r="S195" i="5"/>
  <c r="R185" i="5"/>
  <c r="R205" i="5"/>
  <c r="Q185" i="5"/>
  <c r="P185" i="5"/>
  <c r="P195" i="5"/>
  <c r="O185" i="5"/>
  <c r="O195" i="5"/>
  <c r="N185" i="5"/>
  <c r="N205" i="5"/>
  <c r="M185" i="5"/>
  <c r="L185" i="5"/>
  <c r="L195" i="5"/>
  <c r="K185" i="5"/>
  <c r="K195" i="5"/>
  <c r="J185" i="5"/>
  <c r="J205" i="5"/>
  <c r="I185" i="5"/>
  <c r="H195" i="5"/>
  <c r="G185" i="5"/>
  <c r="G195" i="5"/>
  <c r="F185" i="5"/>
  <c r="F205" i="5"/>
  <c r="E185" i="5"/>
  <c r="D185" i="5"/>
  <c r="D195" i="5"/>
  <c r="C185" i="5"/>
  <c r="C195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J204" i="5"/>
  <c r="E184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J202" i="5"/>
  <c r="C206" i="5"/>
  <c r="J82" i="9"/>
  <c r="J158" i="5"/>
  <c r="F82" i="9"/>
  <c r="F158" i="5"/>
  <c r="I82" i="9"/>
  <c r="I158" i="5"/>
  <c r="G82" i="9"/>
  <c r="G158" i="5"/>
  <c r="V132" i="5"/>
  <c r="R132" i="5"/>
  <c r="N132" i="5"/>
  <c r="E211" i="5"/>
  <c r="C144" i="5"/>
  <c r="AG132" i="5"/>
  <c r="AC132" i="5"/>
  <c r="Y132" i="5"/>
  <c r="U132" i="5"/>
  <c r="Q132" i="5"/>
  <c r="M132" i="5"/>
  <c r="G144" i="5"/>
  <c r="F144" i="5"/>
  <c r="D144" i="5"/>
  <c r="L131" i="5"/>
  <c r="L132" i="5"/>
  <c r="H131" i="5"/>
  <c r="H132" i="5"/>
  <c r="K131" i="5"/>
  <c r="K132" i="5"/>
  <c r="AF132" i="5"/>
  <c r="AB132" i="5"/>
  <c r="X132" i="5"/>
  <c r="T132" i="5"/>
  <c r="P132" i="5"/>
  <c r="J131" i="5"/>
  <c r="J132" i="5"/>
  <c r="S132" i="5"/>
  <c r="O132" i="5"/>
  <c r="I131" i="5"/>
  <c r="I132" i="5"/>
  <c r="C135" i="5"/>
  <c r="AE128" i="5"/>
  <c r="AE131" i="5"/>
  <c r="AA128" i="5"/>
  <c r="AA131" i="5"/>
  <c r="W128" i="5"/>
  <c r="W131" i="5"/>
  <c r="S128" i="5"/>
  <c r="S131" i="5"/>
  <c r="O128" i="5"/>
  <c r="O131" i="5"/>
  <c r="AD128" i="5"/>
  <c r="AD131" i="5"/>
  <c r="Z128" i="5"/>
  <c r="Z131" i="5"/>
  <c r="V128" i="5"/>
  <c r="V131" i="5"/>
  <c r="R128" i="5"/>
  <c r="R131" i="5"/>
  <c r="N128" i="5"/>
  <c r="N131" i="5"/>
  <c r="AG128" i="5"/>
  <c r="AG131" i="5"/>
  <c r="AC128" i="5"/>
  <c r="AC131" i="5"/>
  <c r="Y128" i="5"/>
  <c r="Y131" i="5"/>
  <c r="U128" i="5"/>
  <c r="U131" i="5"/>
  <c r="Q128" i="5"/>
  <c r="Q131" i="5"/>
  <c r="M128" i="5"/>
  <c r="M131" i="5"/>
  <c r="AF128" i="5"/>
  <c r="AF131" i="5"/>
  <c r="AB128" i="5"/>
  <c r="AB131" i="5"/>
  <c r="X128" i="5"/>
  <c r="X131" i="5"/>
  <c r="T128" i="5"/>
  <c r="T131" i="5"/>
  <c r="P128" i="5"/>
  <c r="P131" i="5"/>
  <c r="AE132" i="5"/>
  <c r="AA132" i="5"/>
  <c r="W132" i="5"/>
  <c r="AD132" i="5"/>
  <c r="Z132" i="5"/>
  <c r="I128" i="5"/>
  <c r="L128" i="5"/>
  <c r="H128" i="5"/>
  <c r="D128" i="5"/>
  <c r="J128" i="5"/>
  <c r="F128" i="5"/>
  <c r="C128" i="5"/>
  <c r="K128" i="5"/>
  <c r="G128" i="5"/>
  <c r="I196" i="5"/>
  <c r="Y206" i="5"/>
  <c r="AC196" i="5"/>
  <c r="U206" i="5"/>
  <c r="E206" i="5"/>
  <c r="C205" i="5"/>
  <c r="C219" i="5"/>
  <c r="G193" i="5"/>
  <c r="AG196" i="5"/>
  <c r="Q196" i="5"/>
  <c r="C138" i="5"/>
  <c r="C137" i="5"/>
  <c r="Z196" i="5"/>
  <c r="N196" i="5"/>
  <c r="V206" i="5"/>
  <c r="AD196" i="5"/>
  <c r="J196" i="5"/>
  <c r="AD206" i="5"/>
  <c r="N206" i="5"/>
  <c r="J195" i="5"/>
  <c r="AB194" i="5"/>
  <c r="AE204" i="5"/>
  <c r="L194" i="5"/>
  <c r="F206" i="5"/>
  <c r="O204" i="5"/>
  <c r="Z195" i="5"/>
  <c r="Y192" i="5"/>
  <c r="AE192" i="5"/>
  <c r="W192" i="5"/>
  <c r="O192" i="5"/>
  <c r="G192" i="5"/>
  <c r="V195" i="5"/>
  <c r="F195" i="5"/>
  <c r="X194" i="5"/>
  <c r="H194" i="5"/>
  <c r="U202" i="5"/>
  <c r="AA204" i="5"/>
  <c r="K204" i="5"/>
  <c r="AG192" i="5"/>
  <c r="I192" i="5"/>
  <c r="Y202" i="5"/>
  <c r="I202" i="5"/>
  <c r="AC192" i="5"/>
  <c r="U192" i="5"/>
  <c r="M192" i="5"/>
  <c r="AH195" i="5"/>
  <c r="R195" i="5"/>
  <c r="AJ194" i="5"/>
  <c r="T194" i="5"/>
  <c r="AG202" i="5"/>
  <c r="Q202" i="5"/>
  <c r="W204" i="5"/>
  <c r="G204" i="5"/>
  <c r="Q192" i="5"/>
  <c r="AI192" i="5"/>
  <c r="AA192" i="5"/>
  <c r="S192" i="5"/>
  <c r="K192" i="5"/>
  <c r="AD195" i="5"/>
  <c r="N195" i="5"/>
  <c r="AF194" i="5"/>
  <c r="P194" i="5"/>
  <c r="AC202" i="5"/>
  <c r="M202" i="5"/>
  <c r="AI204" i="5"/>
  <c r="S204" i="5"/>
  <c r="E194" i="5"/>
  <c r="E204" i="5"/>
  <c r="E205" i="5"/>
  <c r="E195" i="5"/>
  <c r="I195" i="5"/>
  <c r="I205" i="5"/>
  <c r="M195" i="5"/>
  <c r="M205" i="5"/>
  <c r="Q205" i="5"/>
  <c r="Q195" i="5"/>
  <c r="U205" i="5"/>
  <c r="U195" i="5"/>
  <c r="Y195" i="5"/>
  <c r="Y205" i="5"/>
  <c r="AC205" i="5"/>
  <c r="AC195" i="5"/>
  <c r="AG195" i="5"/>
  <c r="AG205" i="5"/>
  <c r="AJ192" i="5"/>
  <c r="AF192" i="5"/>
  <c r="AB192" i="5"/>
  <c r="X192" i="5"/>
  <c r="T192" i="5"/>
  <c r="P192" i="5"/>
  <c r="L192" i="5"/>
  <c r="H192" i="5"/>
  <c r="T196" i="5"/>
  <c r="AI194" i="5"/>
  <c r="AE194" i="5"/>
  <c r="AA194" i="5"/>
  <c r="W194" i="5"/>
  <c r="S194" i="5"/>
  <c r="O194" i="5"/>
  <c r="K194" i="5"/>
  <c r="G194" i="5"/>
  <c r="AF202" i="5"/>
  <c r="AB202" i="5"/>
  <c r="X202" i="5"/>
  <c r="T202" i="5"/>
  <c r="P202" i="5"/>
  <c r="L202" i="5"/>
  <c r="H202" i="5"/>
  <c r="AJ205" i="5"/>
  <c r="AF205" i="5"/>
  <c r="AB205" i="5"/>
  <c r="X205" i="5"/>
  <c r="T205" i="5"/>
  <c r="P205" i="5"/>
  <c r="L205" i="5"/>
  <c r="H205" i="5"/>
  <c r="D205" i="5"/>
  <c r="AH204" i="5"/>
  <c r="AD204" i="5"/>
  <c r="Z204" i="5"/>
  <c r="V204" i="5"/>
  <c r="R204" i="5"/>
  <c r="N204" i="5"/>
  <c r="J204" i="5"/>
  <c r="AH194" i="5"/>
  <c r="AD194" i="5"/>
  <c r="Z194" i="5"/>
  <c r="V194" i="5"/>
  <c r="R194" i="5"/>
  <c r="N194" i="5"/>
  <c r="J194" i="5"/>
  <c r="AI202" i="5"/>
  <c r="AE202" i="5"/>
  <c r="AA202" i="5"/>
  <c r="W202" i="5"/>
  <c r="S202" i="5"/>
  <c r="O202" i="5"/>
  <c r="K202" i="5"/>
  <c r="G202" i="5"/>
  <c r="AI205" i="5"/>
  <c r="AE205" i="5"/>
  <c r="AA205" i="5"/>
  <c r="W205" i="5"/>
  <c r="S205" i="5"/>
  <c r="O205" i="5"/>
  <c r="K205" i="5"/>
  <c r="G205" i="5"/>
  <c r="AG204" i="5"/>
  <c r="AC204" i="5"/>
  <c r="Y204" i="5"/>
  <c r="U204" i="5"/>
  <c r="Q204" i="5"/>
  <c r="M204" i="5"/>
  <c r="I204" i="5"/>
  <c r="G203" i="5"/>
  <c r="AH192" i="5"/>
  <c r="AD192" i="5"/>
  <c r="Z192" i="5"/>
  <c r="V192" i="5"/>
  <c r="R192" i="5"/>
  <c r="N192" i="5"/>
  <c r="J192" i="5"/>
  <c r="AF196" i="5"/>
  <c r="H196" i="5"/>
  <c r="AG194" i="5"/>
  <c r="AC194" i="5"/>
  <c r="Y194" i="5"/>
  <c r="U194" i="5"/>
  <c r="Q194" i="5"/>
  <c r="M194" i="5"/>
  <c r="I194" i="5"/>
  <c r="AH202" i="5"/>
  <c r="AD202" i="5"/>
  <c r="Z202" i="5"/>
  <c r="V202" i="5"/>
  <c r="R202" i="5"/>
  <c r="N202" i="5"/>
  <c r="J202" i="5"/>
  <c r="AF204" i="5"/>
  <c r="AB204" i="5"/>
  <c r="X204" i="5"/>
  <c r="T204" i="5"/>
  <c r="P204" i="5"/>
  <c r="L204" i="5"/>
  <c r="H204" i="5"/>
  <c r="L196" i="5"/>
  <c r="AJ196" i="5"/>
  <c r="X196" i="5"/>
  <c r="P196" i="5"/>
  <c r="D196" i="5"/>
  <c r="AB196" i="5"/>
  <c r="AH196" i="5"/>
  <c r="R196" i="5"/>
  <c r="AI196" i="5"/>
  <c r="AE196" i="5"/>
  <c r="AA196" i="5"/>
  <c r="W196" i="5"/>
  <c r="S196" i="5"/>
  <c r="O196" i="5"/>
  <c r="K196" i="5"/>
  <c r="G196" i="5"/>
  <c r="D266" i="5"/>
  <c r="D65" i="5"/>
  <c r="E266" i="5"/>
  <c r="E65" i="5"/>
  <c r="F266" i="5"/>
  <c r="G266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C266" i="5"/>
  <c r="C65" i="5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AJ111" i="9"/>
  <c r="AJ163" i="5"/>
  <c r="AI111" i="9"/>
  <c r="AI163" i="5"/>
  <c r="AH111" i="9"/>
  <c r="AH163" i="5"/>
  <c r="AG111" i="9"/>
  <c r="AG163" i="5"/>
  <c r="AF111" i="9"/>
  <c r="AF163" i="5"/>
  <c r="AE111" i="9"/>
  <c r="AE163" i="5"/>
  <c r="AD111" i="9"/>
  <c r="AD163" i="5"/>
  <c r="AC111" i="9"/>
  <c r="AC163" i="5"/>
  <c r="AB111" i="9"/>
  <c r="AB163" i="5"/>
  <c r="AA111" i="9"/>
  <c r="AA163" i="5"/>
  <c r="Z111" i="9"/>
  <c r="Z163" i="5"/>
  <c r="Y111" i="9"/>
  <c r="Y163" i="5"/>
  <c r="X111" i="9"/>
  <c r="X163" i="5"/>
  <c r="W111" i="9"/>
  <c r="W163" i="5"/>
  <c r="V111" i="9"/>
  <c r="V163" i="5"/>
  <c r="U111" i="9"/>
  <c r="U163" i="5"/>
  <c r="T111" i="9"/>
  <c r="T163" i="5"/>
  <c r="S111" i="9"/>
  <c r="S163" i="5"/>
  <c r="R111" i="9"/>
  <c r="R163" i="5"/>
  <c r="Q111" i="9"/>
  <c r="Q163" i="5"/>
  <c r="O111" i="9"/>
  <c r="O163" i="5"/>
  <c r="N111" i="9"/>
  <c r="N163" i="5"/>
  <c r="M111" i="9"/>
  <c r="M163" i="5"/>
  <c r="L111" i="9"/>
  <c r="L163" i="5"/>
  <c r="J111" i="9"/>
  <c r="J163" i="5"/>
  <c r="I111" i="9"/>
  <c r="I163" i="5"/>
  <c r="H111" i="9"/>
  <c r="G111" i="9"/>
  <c r="G163" i="5"/>
  <c r="F111" i="9"/>
  <c r="F163" i="5"/>
  <c r="E111" i="9"/>
  <c r="E163" i="5"/>
  <c r="D111" i="9"/>
  <c r="D163" i="5"/>
  <c r="C111" i="9"/>
  <c r="C163" i="5"/>
  <c r="AJ103" i="9"/>
  <c r="AJ175" i="5"/>
  <c r="AI103" i="9"/>
  <c r="AI175" i="5"/>
  <c r="AH103" i="9"/>
  <c r="AH175" i="5"/>
  <c r="AG103" i="9"/>
  <c r="AG175" i="5"/>
  <c r="AF103" i="9"/>
  <c r="AF175" i="5"/>
  <c r="AE103" i="9"/>
  <c r="AE175" i="5"/>
  <c r="AD103" i="9"/>
  <c r="AD175" i="5"/>
  <c r="AC103" i="9"/>
  <c r="AC175" i="5"/>
  <c r="AB103" i="9"/>
  <c r="AB175" i="5"/>
  <c r="AA103" i="9"/>
  <c r="AA175" i="5"/>
  <c r="Z103" i="9"/>
  <c r="Z175" i="5"/>
  <c r="Y103" i="9"/>
  <c r="Y175" i="5"/>
  <c r="X103" i="9"/>
  <c r="X175" i="5"/>
  <c r="W103" i="9"/>
  <c r="W175" i="5"/>
  <c r="V103" i="9"/>
  <c r="V175" i="5"/>
  <c r="U103" i="9"/>
  <c r="U175" i="5"/>
  <c r="T103" i="9"/>
  <c r="T175" i="5"/>
  <c r="S103" i="9"/>
  <c r="S175" i="5"/>
  <c r="R103" i="9"/>
  <c r="R175" i="5"/>
  <c r="Q103" i="9"/>
  <c r="Q175" i="5"/>
  <c r="P103" i="9"/>
  <c r="P175" i="5"/>
  <c r="O103" i="9"/>
  <c r="O175" i="5"/>
  <c r="N103" i="9"/>
  <c r="N175" i="5"/>
  <c r="M103" i="9"/>
  <c r="M175" i="5"/>
  <c r="L103" i="9"/>
  <c r="L175" i="5"/>
  <c r="K103" i="9"/>
  <c r="K175" i="5"/>
  <c r="J103" i="9"/>
  <c r="J175" i="5"/>
  <c r="I103" i="9"/>
  <c r="I175" i="5"/>
  <c r="H103" i="9"/>
  <c r="H175" i="5"/>
  <c r="G103" i="9"/>
  <c r="G175" i="5"/>
  <c r="F103" i="9"/>
  <c r="F175" i="5"/>
  <c r="AJ94" i="9"/>
  <c r="AJ172" i="5"/>
  <c r="AI94" i="9"/>
  <c r="AI172" i="5"/>
  <c r="AH94" i="9"/>
  <c r="AH172" i="5"/>
  <c r="AG94" i="9"/>
  <c r="AG172" i="5"/>
  <c r="AF94" i="9"/>
  <c r="AF172" i="5"/>
  <c r="AE94" i="9"/>
  <c r="AE172" i="5"/>
  <c r="AD94" i="9"/>
  <c r="AD172" i="5"/>
  <c r="AC94" i="9"/>
  <c r="AC172" i="5"/>
  <c r="AB94" i="9"/>
  <c r="AB172" i="5"/>
  <c r="AA94" i="9"/>
  <c r="AA172" i="5"/>
  <c r="Z94" i="9"/>
  <c r="Z172" i="5"/>
  <c r="Y94" i="9"/>
  <c r="Y172" i="5"/>
  <c r="X94" i="9"/>
  <c r="X172" i="5"/>
  <c r="W94" i="9"/>
  <c r="W172" i="5"/>
  <c r="V94" i="9"/>
  <c r="V172" i="5"/>
  <c r="U94" i="9"/>
  <c r="U172" i="5"/>
  <c r="T94" i="9"/>
  <c r="T172" i="5"/>
  <c r="S94" i="9"/>
  <c r="S172" i="5"/>
  <c r="R94" i="9"/>
  <c r="R172" i="5"/>
  <c r="Q94" i="9"/>
  <c r="Q172" i="5"/>
  <c r="O94" i="9"/>
  <c r="O172" i="5"/>
  <c r="N94" i="9"/>
  <c r="N172" i="5"/>
  <c r="M94" i="9"/>
  <c r="M172" i="5"/>
  <c r="L94" i="9"/>
  <c r="L172" i="5"/>
  <c r="J94" i="9"/>
  <c r="J172" i="5"/>
  <c r="I94" i="9"/>
  <c r="I172" i="5"/>
  <c r="H94" i="9"/>
  <c r="G94" i="9"/>
  <c r="G172" i="5"/>
  <c r="F94" i="9"/>
  <c r="F172" i="5"/>
  <c r="E94" i="9"/>
  <c r="E172" i="5"/>
  <c r="D94" i="9"/>
  <c r="D172" i="5"/>
  <c r="C94" i="9"/>
  <c r="C172" i="5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AJ77" i="9"/>
  <c r="AJ154" i="5"/>
  <c r="AI77" i="9"/>
  <c r="AI154" i="5"/>
  <c r="AH77" i="9"/>
  <c r="AH154" i="5"/>
  <c r="AG77" i="9"/>
  <c r="AG154" i="5"/>
  <c r="AF77" i="9"/>
  <c r="AF154" i="5"/>
  <c r="AE77" i="9"/>
  <c r="AE154" i="5"/>
  <c r="AD77" i="9"/>
  <c r="AD154" i="5"/>
  <c r="AC77" i="9"/>
  <c r="AC154" i="5"/>
  <c r="AB77" i="9"/>
  <c r="AB154" i="5"/>
  <c r="AA77" i="9"/>
  <c r="AA154" i="5"/>
  <c r="Z77" i="9"/>
  <c r="Z154" i="5"/>
  <c r="Y77" i="9"/>
  <c r="Y154" i="5"/>
  <c r="X77" i="9"/>
  <c r="X154" i="5"/>
  <c r="W77" i="9"/>
  <c r="W154" i="5"/>
  <c r="V77" i="9"/>
  <c r="V154" i="5"/>
  <c r="U77" i="9"/>
  <c r="U154" i="5"/>
  <c r="T77" i="9"/>
  <c r="T154" i="5"/>
  <c r="S77" i="9"/>
  <c r="S154" i="5"/>
  <c r="R77" i="9"/>
  <c r="R154" i="5"/>
  <c r="Q77" i="9"/>
  <c r="Q154" i="5"/>
  <c r="O77" i="9"/>
  <c r="O154" i="5"/>
  <c r="N77" i="9"/>
  <c r="N154" i="5"/>
  <c r="M77" i="9"/>
  <c r="M154" i="5"/>
  <c r="L77" i="9"/>
  <c r="L154" i="5"/>
  <c r="J77" i="9"/>
  <c r="J154" i="5"/>
  <c r="I77" i="9"/>
  <c r="I154" i="5"/>
  <c r="H77" i="9"/>
  <c r="G77" i="9"/>
  <c r="G154" i="5"/>
  <c r="F77" i="9"/>
  <c r="F154" i="5"/>
  <c r="E77" i="9"/>
  <c r="E154" i="5"/>
  <c r="D77" i="9"/>
  <c r="D154" i="5"/>
  <c r="C77" i="9"/>
  <c r="C154" i="5"/>
  <c r="C16" i="9"/>
  <c r="J16" i="9"/>
  <c r="C15" i="9"/>
  <c r="J15" i="9"/>
  <c r="C14" i="9"/>
  <c r="J14" i="9"/>
  <c r="J113" i="9"/>
  <c r="J164" i="5"/>
  <c r="J173" i="5"/>
  <c r="M173" i="5"/>
  <c r="M113" i="9"/>
  <c r="M164" i="5"/>
  <c r="S113" i="9"/>
  <c r="S164" i="5"/>
  <c r="S173" i="5"/>
  <c r="AA113" i="9"/>
  <c r="AA164" i="5"/>
  <c r="AA173" i="5"/>
  <c r="AI113" i="9"/>
  <c r="AI164" i="5"/>
  <c r="AI173" i="5"/>
  <c r="T173" i="5"/>
  <c r="T113" i="9"/>
  <c r="T164" i="5"/>
  <c r="AB173" i="5"/>
  <c r="AB113" i="9"/>
  <c r="AB164" i="5"/>
  <c r="AJ173" i="5"/>
  <c r="AJ113" i="9"/>
  <c r="AJ164" i="5"/>
  <c r="U113" i="9"/>
  <c r="U164" i="5"/>
  <c r="U173" i="5"/>
  <c r="AC113" i="9"/>
  <c r="AC164" i="5"/>
  <c r="AC173" i="5"/>
  <c r="R113" i="9"/>
  <c r="R164" i="5"/>
  <c r="R173" i="5"/>
  <c r="Z113" i="9"/>
  <c r="Z164" i="5"/>
  <c r="Z173" i="5"/>
  <c r="AH113" i="9"/>
  <c r="AH164" i="5"/>
  <c r="AH173" i="5"/>
  <c r="K82" i="9"/>
  <c r="K158" i="5"/>
  <c r="N113" i="9"/>
  <c r="N164" i="5"/>
  <c r="N173" i="5"/>
  <c r="G173" i="5"/>
  <c r="G113" i="9"/>
  <c r="G164" i="5"/>
  <c r="L173" i="5"/>
  <c r="L113" i="9"/>
  <c r="L164" i="5"/>
  <c r="W82" i="9"/>
  <c r="W158" i="5"/>
  <c r="AE82" i="9"/>
  <c r="AE158" i="5"/>
  <c r="P82" i="9"/>
  <c r="P158" i="5"/>
  <c r="X82" i="9"/>
  <c r="X158" i="5"/>
  <c r="AF82" i="9"/>
  <c r="AF158" i="5"/>
  <c r="Q82" i="9"/>
  <c r="Q158" i="5"/>
  <c r="Y82" i="9"/>
  <c r="Y158" i="5"/>
  <c r="AG82" i="9"/>
  <c r="AG158" i="5"/>
  <c r="V82" i="9"/>
  <c r="V158" i="5"/>
  <c r="AD82" i="9"/>
  <c r="AD158" i="5"/>
  <c r="F155" i="5"/>
  <c r="F113" i="9"/>
  <c r="F164" i="5"/>
  <c r="F173" i="5"/>
  <c r="K113" i="9"/>
  <c r="K164" i="5"/>
  <c r="K173" i="5"/>
  <c r="W173" i="5"/>
  <c r="W113" i="9"/>
  <c r="W164" i="5"/>
  <c r="AE173" i="5"/>
  <c r="AE113" i="9"/>
  <c r="AE164" i="5"/>
  <c r="P173" i="5"/>
  <c r="P113" i="9"/>
  <c r="P164" i="5"/>
  <c r="X173" i="5"/>
  <c r="X113" i="9"/>
  <c r="X164" i="5"/>
  <c r="AF173" i="5"/>
  <c r="AF113" i="9"/>
  <c r="AF164" i="5"/>
  <c r="Q173" i="5"/>
  <c r="Q113" i="9"/>
  <c r="Q164" i="5"/>
  <c r="Y173" i="5"/>
  <c r="Y113" i="9"/>
  <c r="Y164" i="5"/>
  <c r="AG173" i="5"/>
  <c r="AG113" i="9"/>
  <c r="AG164" i="5"/>
  <c r="V113" i="9"/>
  <c r="V164" i="5"/>
  <c r="V173" i="5"/>
  <c r="AD113" i="9"/>
  <c r="AD164" i="5"/>
  <c r="AD173" i="5"/>
  <c r="N82" i="9"/>
  <c r="N158" i="5"/>
  <c r="O82" i="9"/>
  <c r="O158" i="5"/>
  <c r="I113" i="9"/>
  <c r="I164" i="5"/>
  <c r="I173" i="5"/>
  <c r="O173" i="5"/>
  <c r="O113" i="9"/>
  <c r="O164" i="5"/>
  <c r="S82" i="9"/>
  <c r="S158" i="5"/>
  <c r="AA82" i="9"/>
  <c r="AA158" i="5"/>
  <c r="AI82" i="9"/>
  <c r="AI158" i="5"/>
  <c r="T82" i="9"/>
  <c r="T158" i="5"/>
  <c r="AB82" i="9"/>
  <c r="AB158" i="5"/>
  <c r="AJ82" i="9"/>
  <c r="AJ158" i="5"/>
  <c r="U82" i="9"/>
  <c r="U158" i="5"/>
  <c r="AC82" i="9"/>
  <c r="AC158" i="5"/>
  <c r="R82" i="9"/>
  <c r="R158" i="5"/>
  <c r="Z82" i="9"/>
  <c r="Z158" i="5"/>
  <c r="AH82" i="9"/>
  <c r="AH158" i="5"/>
  <c r="L82" i="9"/>
  <c r="L158" i="5"/>
  <c r="M82" i="9"/>
  <c r="M158" i="5"/>
  <c r="K155" i="5"/>
  <c r="W155" i="5"/>
  <c r="AE155" i="5"/>
  <c r="P155" i="5"/>
  <c r="X155" i="5"/>
  <c r="AF155" i="5"/>
  <c r="Q155" i="5"/>
  <c r="Y155" i="5"/>
  <c r="AG155" i="5"/>
  <c r="V155" i="5"/>
  <c r="AD155" i="5"/>
  <c r="I155" i="5"/>
  <c r="O155" i="5"/>
  <c r="J155" i="5"/>
  <c r="M155" i="5"/>
  <c r="S155" i="5"/>
  <c r="AA155" i="5"/>
  <c r="AI155" i="5"/>
  <c r="T155" i="5"/>
  <c r="AB155" i="5"/>
  <c r="AJ155" i="5"/>
  <c r="U155" i="5"/>
  <c r="AC155" i="5"/>
  <c r="R155" i="5"/>
  <c r="Z155" i="5"/>
  <c r="AH155" i="5"/>
  <c r="N155" i="5"/>
  <c r="G155" i="5"/>
  <c r="L155" i="5"/>
  <c r="F166" i="5"/>
  <c r="F157" i="5"/>
  <c r="U145" i="5"/>
  <c r="V145" i="5"/>
  <c r="AG145" i="5"/>
  <c r="R145" i="5"/>
  <c r="P157" i="5"/>
  <c r="P166" i="5"/>
  <c r="T157" i="5"/>
  <c r="T166" i="5"/>
  <c r="AF157" i="5"/>
  <c r="AF166" i="5"/>
  <c r="AJ157" i="5"/>
  <c r="AJ166" i="5"/>
  <c r="I166" i="5"/>
  <c r="I157" i="5"/>
  <c r="M166" i="5"/>
  <c r="M157" i="5"/>
  <c r="Q166" i="5"/>
  <c r="Q157" i="5"/>
  <c r="U166" i="5"/>
  <c r="U157" i="5"/>
  <c r="Y166" i="5"/>
  <c r="Y157" i="5"/>
  <c r="AC166" i="5"/>
  <c r="AC157" i="5"/>
  <c r="AG166" i="5"/>
  <c r="AG157" i="5"/>
  <c r="H166" i="5"/>
  <c r="AB157" i="5"/>
  <c r="AB166" i="5"/>
  <c r="J157" i="5"/>
  <c r="J166" i="5"/>
  <c r="N157" i="5"/>
  <c r="N166" i="5"/>
  <c r="R157" i="5"/>
  <c r="R166" i="5"/>
  <c r="V157" i="5"/>
  <c r="V166" i="5"/>
  <c r="Z157" i="5"/>
  <c r="Z166" i="5"/>
  <c r="AD157" i="5"/>
  <c r="AD166" i="5"/>
  <c r="AH157" i="5"/>
  <c r="AH166" i="5"/>
  <c r="L157" i="5"/>
  <c r="L166" i="5"/>
  <c r="X157" i="5"/>
  <c r="X166" i="5"/>
  <c r="G157" i="5"/>
  <c r="G166" i="5"/>
  <c r="K157" i="5"/>
  <c r="K166" i="5"/>
  <c r="O157" i="5"/>
  <c r="O166" i="5"/>
  <c r="S157" i="5"/>
  <c r="S166" i="5"/>
  <c r="W157" i="5"/>
  <c r="W166" i="5"/>
  <c r="AA157" i="5"/>
  <c r="AA166" i="5"/>
  <c r="AE157" i="5"/>
  <c r="AE166" i="5"/>
  <c r="AI157" i="5"/>
  <c r="AI166" i="5"/>
  <c r="G211" i="5"/>
  <c r="F211" i="5"/>
  <c r="N145" i="5"/>
  <c r="Q145" i="5"/>
  <c r="AC145" i="5"/>
  <c r="F215" i="5"/>
  <c r="F219" i="5"/>
  <c r="E215" i="5"/>
  <c r="C141" i="5"/>
  <c r="M145" i="5"/>
  <c r="E219" i="5"/>
  <c r="C211" i="5"/>
  <c r="D211" i="5"/>
  <c r="Y145" i="5"/>
  <c r="K144" i="5"/>
  <c r="L144" i="5"/>
  <c r="P144" i="5"/>
  <c r="X144" i="5"/>
  <c r="AF144" i="5"/>
  <c r="Q144" i="5"/>
  <c r="Y144" i="5"/>
  <c r="AG144" i="5"/>
  <c r="R144" i="5"/>
  <c r="Z144" i="5"/>
  <c r="O144" i="5"/>
  <c r="W144" i="5"/>
  <c r="AE144" i="5"/>
  <c r="I144" i="5"/>
  <c r="J144" i="5"/>
  <c r="H144" i="5"/>
  <c r="T144" i="5"/>
  <c r="AB144" i="5"/>
  <c r="M144" i="5"/>
  <c r="U144" i="5"/>
  <c r="AC144" i="5"/>
  <c r="N144" i="5"/>
  <c r="V144" i="5"/>
  <c r="AD144" i="5"/>
  <c r="S144" i="5"/>
  <c r="AA144" i="5"/>
  <c r="T141" i="5"/>
  <c r="AB141" i="5"/>
  <c r="N141" i="5"/>
  <c r="AD141" i="5"/>
  <c r="S141" i="5"/>
  <c r="F141" i="5"/>
  <c r="G141" i="5"/>
  <c r="J141" i="5"/>
  <c r="P141" i="5"/>
  <c r="X141" i="5"/>
  <c r="AF141" i="5"/>
  <c r="Q141" i="5"/>
  <c r="Y141" i="5"/>
  <c r="AG141" i="5"/>
  <c r="R141" i="5"/>
  <c r="Z141" i="5"/>
  <c r="O141" i="5"/>
  <c r="W141" i="5"/>
  <c r="AE141" i="5"/>
  <c r="H141" i="5"/>
  <c r="M141" i="5"/>
  <c r="U141" i="5"/>
  <c r="AC141" i="5"/>
  <c r="V141" i="5"/>
  <c r="AA141" i="5"/>
  <c r="L141" i="5"/>
  <c r="K141" i="5"/>
  <c r="D141" i="5"/>
  <c r="I141" i="5"/>
  <c r="AB145" i="5"/>
  <c r="W145" i="5"/>
  <c r="O145" i="5"/>
  <c r="P145" i="5"/>
  <c r="AF145" i="5"/>
  <c r="AD145" i="5"/>
  <c r="H145" i="5"/>
  <c r="AA145" i="5"/>
  <c r="S145" i="5"/>
  <c r="T145" i="5"/>
  <c r="K145" i="5"/>
  <c r="L145" i="5"/>
  <c r="Z145" i="5"/>
  <c r="AE145" i="5"/>
  <c r="I145" i="5"/>
  <c r="J145" i="5"/>
  <c r="X145" i="5"/>
  <c r="G219" i="5"/>
  <c r="G215" i="5"/>
  <c r="I211" i="5"/>
  <c r="H193" i="5"/>
  <c r="H203" i="5"/>
  <c r="J211" i="5"/>
  <c r="I203" i="5"/>
  <c r="I219" i="5"/>
  <c r="I193" i="5"/>
  <c r="I215" i="5"/>
  <c r="C76" i="5"/>
  <c r="D49" i="1"/>
  <c r="E49" i="1"/>
  <c r="F49" i="1"/>
  <c r="G49" i="1"/>
  <c r="H49" i="1"/>
  <c r="I49" i="1"/>
  <c r="J49" i="1"/>
  <c r="K49" i="1"/>
  <c r="D50" i="1"/>
  <c r="E50" i="1"/>
  <c r="F50" i="1"/>
  <c r="G50" i="1"/>
  <c r="H50" i="1"/>
  <c r="I50" i="1"/>
  <c r="J50" i="1"/>
  <c r="K50" i="1"/>
  <c r="D51" i="1"/>
  <c r="E51" i="1"/>
  <c r="F51" i="1"/>
  <c r="G51" i="1"/>
  <c r="H51" i="1"/>
  <c r="I51" i="1"/>
  <c r="J51" i="1"/>
  <c r="K51" i="1"/>
  <c r="D52" i="1"/>
  <c r="E52" i="1"/>
  <c r="F52" i="1"/>
  <c r="G52" i="1"/>
  <c r="H52" i="1"/>
  <c r="I52" i="1"/>
  <c r="J52" i="1"/>
  <c r="K52" i="1"/>
  <c r="D53" i="1"/>
  <c r="E53" i="1"/>
  <c r="F53" i="1"/>
  <c r="G53" i="1"/>
  <c r="H53" i="1"/>
  <c r="I53" i="1"/>
  <c r="J53" i="1"/>
  <c r="K53" i="1"/>
  <c r="D54" i="1"/>
  <c r="E54" i="1"/>
  <c r="F54" i="1"/>
  <c r="G54" i="1"/>
  <c r="H54" i="1"/>
  <c r="I54" i="1"/>
  <c r="J54" i="1"/>
  <c r="K54" i="1"/>
  <c r="D55" i="1"/>
  <c r="E55" i="1"/>
  <c r="F55" i="1"/>
  <c r="G55" i="1"/>
  <c r="H55" i="1"/>
  <c r="I55" i="1"/>
  <c r="J55" i="1"/>
  <c r="K55" i="1"/>
  <c r="D56" i="1"/>
  <c r="E56" i="1"/>
  <c r="F56" i="1"/>
  <c r="G56" i="1"/>
  <c r="H56" i="1"/>
  <c r="I56" i="1"/>
  <c r="J56" i="1"/>
  <c r="K56" i="1"/>
  <c r="D57" i="1"/>
  <c r="E57" i="1"/>
  <c r="F57" i="1"/>
  <c r="G57" i="1"/>
  <c r="H57" i="1"/>
  <c r="I57" i="1"/>
  <c r="J57" i="1"/>
  <c r="K57" i="1"/>
  <c r="D58" i="1"/>
  <c r="E58" i="1"/>
  <c r="F58" i="1"/>
  <c r="G58" i="1"/>
  <c r="H58" i="1"/>
  <c r="I58" i="1"/>
  <c r="J58" i="1"/>
  <c r="K58" i="1"/>
  <c r="D59" i="1"/>
  <c r="E59" i="1"/>
  <c r="F59" i="1"/>
  <c r="G59" i="1"/>
  <c r="H59" i="1"/>
  <c r="I59" i="1"/>
  <c r="J59" i="1"/>
  <c r="K59" i="1"/>
  <c r="D60" i="1"/>
  <c r="E60" i="1"/>
  <c r="F60" i="1"/>
  <c r="G60" i="1"/>
  <c r="H60" i="1"/>
  <c r="I60" i="1"/>
  <c r="J60" i="1"/>
  <c r="K60" i="1"/>
  <c r="D61" i="1"/>
  <c r="E61" i="1"/>
  <c r="F61" i="1"/>
  <c r="G61" i="1"/>
  <c r="H61" i="1"/>
  <c r="I61" i="1"/>
  <c r="J61" i="1"/>
  <c r="K61" i="1"/>
  <c r="D62" i="1"/>
  <c r="E62" i="1"/>
  <c r="F62" i="1"/>
  <c r="G62" i="1"/>
  <c r="H62" i="1"/>
  <c r="I62" i="1"/>
  <c r="J62" i="1"/>
  <c r="K62" i="1"/>
  <c r="D63" i="1"/>
  <c r="E63" i="1"/>
  <c r="F63" i="1"/>
  <c r="G63" i="1"/>
  <c r="H63" i="1"/>
  <c r="I63" i="1"/>
  <c r="J63" i="1"/>
  <c r="K63" i="1"/>
  <c r="D64" i="1"/>
  <c r="E64" i="1"/>
  <c r="F64" i="1"/>
  <c r="G64" i="1"/>
  <c r="H64" i="1"/>
  <c r="I64" i="1"/>
  <c r="J64" i="1"/>
  <c r="K64" i="1"/>
  <c r="D65" i="1"/>
  <c r="E65" i="1"/>
  <c r="F65" i="1"/>
  <c r="G65" i="1"/>
  <c r="H65" i="1"/>
  <c r="I65" i="1"/>
  <c r="J65" i="1"/>
  <c r="K65" i="1"/>
  <c r="D66" i="1"/>
  <c r="E66" i="1"/>
  <c r="F66" i="1"/>
  <c r="G66" i="1"/>
  <c r="H66" i="1"/>
  <c r="I66" i="1"/>
  <c r="J66" i="1"/>
  <c r="K66" i="1"/>
  <c r="D67" i="1"/>
  <c r="E67" i="1"/>
  <c r="F67" i="1"/>
  <c r="G67" i="1"/>
  <c r="H67" i="1"/>
  <c r="I67" i="1"/>
  <c r="J67" i="1"/>
  <c r="K67" i="1"/>
  <c r="D68" i="1"/>
  <c r="E68" i="1"/>
  <c r="F68" i="1"/>
  <c r="G68" i="1"/>
  <c r="H68" i="1"/>
  <c r="I68" i="1"/>
  <c r="J68" i="1"/>
  <c r="K68" i="1"/>
  <c r="D69" i="1"/>
  <c r="E69" i="1"/>
  <c r="F69" i="1"/>
  <c r="G69" i="1"/>
  <c r="H69" i="1"/>
  <c r="I69" i="1"/>
  <c r="J69" i="1"/>
  <c r="K69" i="1"/>
  <c r="D70" i="1"/>
  <c r="E70" i="1"/>
  <c r="F70" i="1"/>
  <c r="G70" i="1"/>
  <c r="H70" i="1"/>
  <c r="I70" i="1"/>
  <c r="J70" i="1"/>
  <c r="K70" i="1"/>
  <c r="D71" i="1"/>
  <c r="E71" i="1"/>
  <c r="F71" i="1"/>
  <c r="G71" i="1"/>
  <c r="H71" i="1"/>
  <c r="I71" i="1"/>
  <c r="J71" i="1"/>
  <c r="K71" i="1"/>
  <c r="D72" i="1"/>
  <c r="E72" i="1"/>
  <c r="F72" i="1"/>
  <c r="G72" i="1"/>
  <c r="H72" i="1"/>
  <c r="I72" i="1"/>
  <c r="J72" i="1"/>
  <c r="K72" i="1"/>
  <c r="D73" i="1"/>
  <c r="E73" i="1"/>
  <c r="F73" i="1"/>
  <c r="G73" i="1"/>
  <c r="H73" i="1"/>
  <c r="I73" i="1"/>
  <c r="J73" i="1"/>
  <c r="K73" i="1"/>
  <c r="D74" i="1"/>
  <c r="E74" i="1"/>
  <c r="F74" i="1"/>
  <c r="G74" i="1"/>
  <c r="H74" i="1"/>
  <c r="I74" i="1"/>
  <c r="J74" i="1"/>
  <c r="K74" i="1"/>
  <c r="D75" i="1"/>
  <c r="E75" i="1"/>
  <c r="F75" i="1"/>
  <c r="G75" i="1"/>
  <c r="H75" i="1"/>
  <c r="I75" i="1"/>
  <c r="J75" i="1"/>
  <c r="K75" i="1"/>
  <c r="D76" i="1"/>
  <c r="E76" i="1"/>
  <c r="F76" i="1"/>
  <c r="G76" i="1"/>
  <c r="H76" i="1"/>
  <c r="I76" i="1"/>
  <c r="J76" i="1"/>
  <c r="K76" i="1"/>
  <c r="D77" i="1"/>
  <c r="E77" i="1"/>
  <c r="F77" i="1"/>
  <c r="G77" i="1"/>
  <c r="H77" i="1"/>
  <c r="I77" i="1"/>
  <c r="J77" i="1"/>
  <c r="K77" i="1"/>
  <c r="D78" i="1"/>
  <c r="E78" i="1"/>
  <c r="F78" i="1"/>
  <c r="G78" i="1"/>
  <c r="H78" i="1"/>
  <c r="I78" i="1"/>
  <c r="J78" i="1"/>
  <c r="K78" i="1"/>
  <c r="D79" i="1"/>
  <c r="E79" i="1"/>
  <c r="F79" i="1"/>
  <c r="G79" i="1"/>
  <c r="H79" i="1"/>
  <c r="I79" i="1"/>
  <c r="J79" i="1"/>
  <c r="K79" i="1"/>
  <c r="D80" i="1"/>
  <c r="E80" i="1"/>
  <c r="F80" i="1"/>
  <c r="G80" i="1"/>
  <c r="H80" i="1"/>
  <c r="I80" i="1"/>
  <c r="J80" i="1"/>
  <c r="K80" i="1"/>
  <c r="D81" i="1"/>
  <c r="E81" i="1"/>
  <c r="F81" i="1"/>
  <c r="G81" i="1"/>
  <c r="H81" i="1"/>
  <c r="I81" i="1"/>
  <c r="J81" i="1"/>
  <c r="K81" i="1"/>
  <c r="D82" i="1"/>
  <c r="E82" i="1"/>
  <c r="F82" i="1"/>
  <c r="G82" i="1"/>
  <c r="H82" i="1"/>
  <c r="I82" i="1"/>
  <c r="J82" i="1"/>
  <c r="K82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49" i="1"/>
  <c r="I45" i="9"/>
  <c r="I46" i="9"/>
  <c r="I44" i="9"/>
  <c r="H45" i="9"/>
  <c r="F105" i="9"/>
  <c r="F177" i="5"/>
  <c r="H46" i="9"/>
  <c r="H44" i="9"/>
  <c r="G45" i="9"/>
  <c r="G46" i="9"/>
  <c r="G44" i="9"/>
  <c r="F45" i="9"/>
  <c r="F46" i="9"/>
  <c r="F44" i="9"/>
  <c r="I30" i="9"/>
  <c r="K94" i="9"/>
  <c r="K172" i="5"/>
  <c r="I31" i="9"/>
  <c r="I29" i="9"/>
  <c r="H29" i="9"/>
  <c r="G30" i="9"/>
  <c r="E91" i="9"/>
  <c r="G31" i="9"/>
  <c r="E108" i="9"/>
  <c r="G29" i="9"/>
  <c r="E74" i="9"/>
  <c r="C201" i="5" a="1"/>
  <c r="C200" i="5" a="1"/>
  <c r="C199" i="5" a="1"/>
  <c r="C191" i="5" a="1"/>
  <c r="C190" i="5" a="1"/>
  <c r="C189" i="5" a="1"/>
  <c r="C181" i="5" a="1"/>
  <c r="C180" i="5" a="1"/>
  <c r="C179" i="5" a="1"/>
  <c r="K111" i="9"/>
  <c r="K163" i="5"/>
  <c r="K77" i="9"/>
  <c r="K154" i="5"/>
  <c r="K211" i="5"/>
  <c r="J203" i="5"/>
  <c r="J219" i="5"/>
  <c r="J193" i="5"/>
  <c r="J215" i="5"/>
  <c r="AG84" i="9"/>
  <c r="AC84" i="9"/>
  <c r="Y84" i="9"/>
  <c r="U84" i="9"/>
  <c r="Q84" i="9"/>
  <c r="M84" i="9"/>
  <c r="I84" i="9"/>
  <c r="AJ84" i="9"/>
  <c r="AF84" i="9"/>
  <c r="AB84" i="9"/>
  <c r="X84" i="9"/>
  <c r="T84" i="9"/>
  <c r="P84" i="9"/>
  <c r="L84" i="9"/>
  <c r="H84" i="9"/>
  <c r="AE84" i="9"/>
  <c r="W84" i="9"/>
  <c r="O84" i="9"/>
  <c r="G84" i="9"/>
  <c r="AI84" i="9"/>
  <c r="S84" i="9"/>
  <c r="R84" i="9"/>
  <c r="AD84" i="9"/>
  <c r="V84" i="9"/>
  <c r="N84" i="9"/>
  <c r="F84" i="9"/>
  <c r="AA84" i="9"/>
  <c r="K84" i="9"/>
  <c r="AH84" i="9"/>
  <c r="Z84" i="9"/>
  <c r="J84" i="9"/>
  <c r="AJ105" i="9"/>
  <c r="AJ177" i="5"/>
  <c r="AF105" i="9"/>
  <c r="AF177" i="5"/>
  <c r="AB105" i="9"/>
  <c r="AB177" i="5"/>
  <c r="X105" i="9"/>
  <c r="X177" i="5"/>
  <c r="T105" i="9"/>
  <c r="T177" i="5"/>
  <c r="P105" i="9"/>
  <c r="P177" i="5"/>
  <c r="L105" i="9"/>
  <c r="L177" i="5"/>
  <c r="H105" i="9"/>
  <c r="AG102" i="9"/>
  <c r="AC102" i="9"/>
  <c r="Y102" i="9"/>
  <c r="U102" i="9"/>
  <c r="Q102" i="9"/>
  <c r="M102" i="9"/>
  <c r="I102" i="9"/>
  <c r="AH105" i="9"/>
  <c r="AH177" i="5"/>
  <c r="AD105" i="9"/>
  <c r="AD177" i="5"/>
  <c r="Z105" i="9"/>
  <c r="Z177" i="5"/>
  <c r="V105" i="9"/>
  <c r="V177" i="5"/>
  <c r="R105" i="9"/>
  <c r="R177" i="5"/>
  <c r="N105" i="9"/>
  <c r="N177" i="5"/>
  <c r="J105" i="9"/>
  <c r="J177" i="5"/>
  <c r="AI102" i="9"/>
  <c r="AE102" i="9"/>
  <c r="AA102" i="9"/>
  <c r="W102" i="9"/>
  <c r="S102" i="9"/>
  <c r="O102" i="9"/>
  <c r="K102" i="9"/>
  <c r="G102" i="9"/>
  <c r="AG105" i="9"/>
  <c r="AG177" i="5"/>
  <c r="Y105" i="9"/>
  <c r="Y177" i="5"/>
  <c r="Q105" i="9"/>
  <c r="Q177" i="5"/>
  <c r="I105" i="9"/>
  <c r="I177" i="5"/>
  <c r="AD102" i="9"/>
  <c r="V102" i="9"/>
  <c r="N102" i="9"/>
  <c r="F102" i="9"/>
  <c r="AE105" i="9"/>
  <c r="AE177" i="5"/>
  <c r="W105" i="9"/>
  <c r="W177" i="5"/>
  <c r="O105" i="9"/>
  <c r="O177" i="5"/>
  <c r="G105" i="9"/>
  <c r="G177" i="5"/>
  <c r="AJ102" i="9"/>
  <c r="AB102" i="9"/>
  <c r="T102" i="9"/>
  <c r="L102" i="9"/>
  <c r="AC105" i="9"/>
  <c r="AC177" i="5"/>
  <c r="M105" i="9"/>
  <c r="M177" i="5"/>
  <c r="X102" i="9"/>
  <c r="H102" i="9"/>
  <c r="U105" i="9"/>
  <c r="U177" i="5"/>
  <c r="P102" i="9"/>
  <c r="AI105" i="9"/>
  <c r="AI177" i="5"/>
  <c r="S105" i="9"/>
  <c r="S177" i="5"/>
  <c r="J102" i="9"/>
  <c r="AA105" i="9"/>
  <c r="AA177" i="5"/>
  <c r="K105" i="9"/>
  <c r="K177" i="5"/>
  <c r="AH102" i="9"/>
  <c r="R102" i="9"/>
  <c r="AF102" i="9"/>
  <c r="Z102" i="9"/>
  <c r="P111" i="9"/>
  <c r="P163" i="5"/>
  <c r="P77" i="9"/>
  <c r="P154" i="5"/>
  <c r="AJ74" i="9"/>
  <c r="AJ152" i="5"/>
  <c r="AJ76" i="9"/>
  <c r="AJ108" i="9"/>
  <c r="AJ161" i="5"/>
  <c r="AJ88" i="9"/>
  <c r="AF88" i="9"/>
  <c r="AB88" i="9"/>
  <c r="X88" i="9"/>
  <c r="T88" i="9"/>
  <c r="P88" i="9"/>
  <c r="L88" i="9"/>
  <c r="H88" i="9"/>
  <c r="AH85" i="9"/>
  <c r="AD85" i="9"/>
  <c r="Z85" i="9"/>
  <c r="V85" i="9"/>
  <c r="R85" i="9"/>
  <c r="N85" i="9"/>
  <c r="J85" i="9"/>
  <c r="F85" i="9"/>
  <c r="AI88" i="9"/>
  <c r="AE88" i="9"/>
  <c r="AA88" i="9"/>
  <c r="W88" i="9"/>
  <c r="S88" i="9"/>
  <c r="O88" i="9"/>
  <c r="K88" i="9"/>
  <c r="G88" i="9"/>
  <c r="AG85" i="9"/>
  <c r="AC85" i="9"/>
  <c r="Y85" i="9"/>
  <c r="U85" i="9"/>
  <c r="Q85" i="9"/>
  <c r="M85" i="9"/>
  <c r="I85" i="9"/>
  <c r="AH88" i="9"/>
  <c r="Z88" i="9"/>
  <c r="R88" i="9"/>
  <c r="J88" i="9"/>
  <c r="AF85" i="9"/>
  <c r="X85" i="9"/>
  <c r="P85" i="9"/>
  <c r="H85" i="9"/>
  <c r="AD88" i="9"/>
  <c r="V88" i="9"/>
  <c r="N88" i="9"/>
  <c r="AJ85" i="9"/>
  <c r="T85" i="9"/>
  <c r="AC88" i="9"/>
  <c r="U88" i="9"/>
  <c r="AI85" i="9"/>
  <c r="K85" i="9"/>
  <c r="AG88" i="9"/>
  <c r="Y88" i="9"/>
  <c r="Q88" i="9"/>
  <c r="I88" i="9"/>
  <c r="AE85" i="9"/>
  <c r="W85" i="9"/>
  <c r="O85" i="9"/>
  <c r="G85" i="9"/>
  <c r="F88" i="9"/>
  <c r="AB85" i="9"/>
  <c r="L85" i="9"/>
  <c r="M88" i="9"/>
  <c r="AA85" i="9"/>
  <c r="S85" i="9"/>
  <c r="AJ110" i="9"/>
  <c r="P94" i="9"/>
  <c r="P172" i="5"/>
  <c r="AJ91" i="9"/>
  <c r="AJ170" i="5"/>
  <c r="AJ122" i="9"/>
  <c r="AJ168" i="5"/>
  <c r="AF122" i="9"/>
  <c r="AF168" i="5"/>
  <c r="AB122" i="9"/>
  <c r="AB168" i="5"/>
  <c r="X122" i="9"/>
  <c r="X168" i="5"/>
  <c r="T122" i="9"/>
  <c r="T168" i="5"/>
  <c r="P122" i="9"/>
  <c r="P168" i="5"/>
  <c r="L122" i="9"/>
  <c r="L168" i="5"/>
  <c r="H122" i="9"/>
  <c r="AG119" i="9"/>
  <c r="AC119" i="9"/>
  <c r="Y119" i="9"/>
  <c r="U119" i="9"/>
  <c r="Q119" i="9"/>
  <c r="M119" i="9"/>
  <c r="I119" i="9"/>
  <c r="AI122" i="9"/>
  <c r="AI168" i="5"/>
  <c r="AE122" i="9"/>
  <c r="AE168" i="5"/>
  <c r="AA122" i="9"/>
  <c r="AA168" i="5"/>
  <c r="W122" i="9"/>
  <c r="W168" i="5"/>
  <c r="S122" i="9"/>
  <c r="S168" i="5"/>
  <c r="O122" i="9"/>
  <c r="O168" i="5"/>
  <c r="K122" i="9"/>
  <c r="K168" i="5"/>
  <c r="G122" i="9"/>
  <c r="G168" i="5"/>
  <c r="AJ119" i="9"/>
  <c r="AF119" i="9"/>
  <c r="AB119" i="9"/>
  <c r="X119" i="9"/>
  <c r="T119" i="9"/>
  <c r="P119" i="9"/>
  <c r="L119" i="9"/>
  <c r="H119" i="9"/>
  <c r="AH122" i="9"/>
  <c r="AH168" i="5"/>
  <c r="AD122" i="9"/>
  <c r="AD168" i="5"/>
  <c r="Z122" i="9"/>
  <c r="Z168" i="5"/>
  <c r="V122" i="9"/>
  <c r="V168" i="5"/>
  <c r="R122" i="9"/>
  <c r="R168" i="5"/>
  <c r="N122" i="9"/>
  <c r="N168" i="5"/>
  <c r="J122" i="9"/>
  <c r="J168" i="5"/>
  <c r="F122" i="9"/>
  <c r="F168" i="5"/>
  <c r="AI119" i="9"/>
  <c r="AE119" i="9"/>
  <c r="AA119" i="9"/>
  <c r="W119" i="9"/>
  <c r="S119" i="9"/>
  <c r="O119" i="9"/>
  <c r="K119" i="9"/>
  <c r="G119" i="9"/>
  <c r="AG122" i="9"/>
  <c r="AG168" i="5"/>
  <c r="Q122" i="9"/>
  <c r="Q168" i="5"/>
  <c r="Z119" i="9"/>
  <c r="J119" i="9"/>
  <c r="AC122" i="9"/>
  <c r="AC168" i="5"/>
  <c r="M122" i="9"/>
  <c r="M168" i="5"/>
  <c r="V119" i="9"/>
  <c r="F119" i="9"/>
  <c r="Y122" i="9"/>
  <c r="Y168" i="5"/>
  <c r="R119" i="9"/>
  <c r="U122" i="9"/>
  <c r="U168" i="5"/>
  <c r="N119" i="9"/>
  <c r="I122" i="9"/>
  <c r="I168" i="5"/>
  <c r="AH119" i="9"/>
  <c r="AD119" i="9"/>
  <c r="AJ93" i="9"/>
  <c r="E199" i="5"/>
  <c r="X199" i="5"/>
  <c r="AA199" i="5"/>
  <c r="J199" i="5"/>
  <c r="S199" i="5"/>
  <c r="V199" i="5"/>
  <c r="D199" i="5"/>
  <c r="AI199" i="5"/>
  <c r="P199" i="5"/>
  <c r="N199" i="5"/>
  <c r="K199" i="5"/>
  <c r="AD199" i="5"/>
  <c r="F199" i="5"/>
  <c r="H199" i="5"/>
  <c r="AH199" i="5"/>
  <c r="AB199" i="5"/>
  <c r="W199" i="5"/>
  <c r="R199" i="5"/>
  <c r="AG199" i="5"/>
  <c r="L199" i="5"/>
  <c r="AC199" i="5"/>
  <c r="G199" i="5"/>
  <c r="Y199" i="5"/>
  <c r="AJ199" i="5"/>
  <c r="U199" i="5"/>
  <c r="AE199" i="5"/>
  <c r="Q199" i="5"/>
  <c r="Z199" i="5"/>
  <c r="M199" i="5"/>
  <c r="C199" i="5"/>
  <c r="T199" i="5"/>
  <c r="I199" i="5"/>
  <c r="AF199" i="5"/>
  <c r="O199" i="5"/>
  <c r="C179" i="5"/>
  <c r="AG179" i="5"/>
  <c r="F179" i="5"/>
  <c r="AB179" i="5"/>
  <c r="Y179" i="5"/>
  <c r="X179" i="5"/>
  <c r="I179" i="5"/>
  <c r="T179" i="5"/>
  <c r="P179" i="5"/>
  <c r="AC179" i="5"/>
  <c r="L179" i="5"/>
  <c r="AH179" i="5"/>
  <c r="U179" i="5"/>
  <c r="H179" i="5"/>
  <c r="M179" i="5"/>
  <c r="D179" i="5"/>
  <c r="E179" i="5"/>
  <c r="AI179" i="5"/>
  <c r="AE179" i="5"/>
  <c r="AA179" i="5"/>
  <c r="W179" i="5"/>
  <c r="R179" i="5"/>
  <c r="S179" i="5"/>
  <c r="Q179" i="5"/>
  <c r="Z179" i="5"/>
  <c r="AD179" i="5"/>
  <c r="O179" i="5"/>
  <c r="J179" i="5"/>
  <c r="V179" i="5"/>
  <c r="AJ179" i="5"/>
  <c r="K179" i="5"/>
  <c r="N179" i="5"/>
  <c r="AF179" i="5"/>
  <c r="G179" i="5"/>
  <c r="E180" i="5"/>
  <c r="AH180" i="5"/>
  <c r="Q180" i="5"/>
  <c r="M180" i="5"/>
  <c r="R180" i="5"/>
  <c r="I180" i="5"/>
  <c r="AD180" i="5"/>
  <c r="N180" i="5"/>
  <c r="AF180" i="5"/>
  <c r="AI180" i="5"/>
  <c r="X180" i="5"/>
  <c r="AE180" i="5"/>
  <c r="P180" i="5"/>
  <c r="AA180" i="5"/>
  <c r="H180" i="5"/>
  <c r="W180" i="5"/>
  <c r="AJ180" i="5"/>
  <c r="S180" i="5"/>
  <c r="AB180" i="5"/>
  <c r="O180" i="5"/>
  <c r="V180" i="5"/>
  <c r="T180" i="5"/>
  <c r="K180" i="5"/>
  <c r="F180" i="5"/>
  <c r="L180" i="5"/>
  <c r="G180" i="5"/>
  <c r="D180" i="5"/>
  <c r="C180" i="5"/>
  <c r="AG180" i="5"/>
  <c r="AC180" i="5"/>
  <c r="Z180" i="5"/>
  <c r="Y180" i="5"/>
  <c r="J180" i="5"/>
  <c r="U180" i="5"/>
  <c r="E181" i="5"/>
  <c r="D181" i="5"/>
  <c r="AG181" i="5"/>
  <c r="AC181" i="5"/>
  <c r="Y181" i="5"/>
  <c r="U181" i="5"/>
  <c r="Q181" i="5"/>
  <c r="AH181" i="5"/>
  <c r="M181" i="5"/>
  <c r="K181" i="5"/>
  <c r="AA181" i="5"/>
  <c r="I181" i="5"/>
  <c r="AD181" i="5"/>
  <c r="S181" i="5"/>
  <c r="H181" i="5"/>
  <c r="L181" i="5"/>
  <c r="P181" i="5"/>
  <c r="AI181" i="5"/>
  <c r="F181" i="5"/>
  <c r="X181" i="5"/>
  <c r="AB181" i="5"/>
  <c r="AJ181" i="5"/>
  <c r="V181" i="5"/>
  <c r="AE181" i="5"/>
  <c r="AF181" i="5"/>
  <c r="N181" i="5"/>
  <c r="Z181" i="5"/>
  <c r="R181" i="5"/>
  <c r="G181" i="5"/>
  <c r="T181" i="5"/>
  <c r="C181" i="5"/>
  <c r="O181" i="5"/>
  <c r="W181" i="5"/>
  <c r="J181" i="5"/>
  <c r="C189" i="5"/>
  <c r="AF189" i="5"/>
  <c r="AE189" i="5"/>
  <c r="AB189" i="5"/>
  <c r="AA189" i="5"/>
  <c r="X189" i="5"/>
  <c r="W189" i="5"/>
  <c r="AH189" i="5"/>
  <c r="T189" i="5"/>
  <c r="S189" i="5"/>
  <c r="AD189" i="5"/>
  <c r="P189" i="5"/>
  <c r="O189" i="5"/>
  <c r="Z189" i="5"/>
  <c r="L189" i="5"/>
  <c r="K189" i="5"/>
  <c r="V189" i="5"/>
  <c r="AG189" i="5"/>
  <c r="H189" i="5"/>
  <c r="G189" i="5"/>
  <c r="R189" i="5"/>
  <c r="AC189" i="5"/>
  <c r="D189" i="5"/>
  <c r="N189" i="5"/>
  <c r="Y189" i="5"/>
  <c r="J189" i="5"/>
  <c r="U189" i="5"/>
  <c r="F189" i="5"/>
  <c r="Q189" i="5"/>
  <c r="M189" i="5"/>
  <c r="I189" i="5"/>
  <c r="E189" i="5"/>
  <c r="AJ189" i="5"/>
  <c r="AI189" i="5"/>
  <c r="C190" i="5"/>
  <c r="Y190" i="5"/>
  <c r="AD190" i="5"/>
  <c r="X190" i="5"/>
  <c r="AI190" i="5"/>
  <c r="AH190" i="5"/>
  <c r="V190" i="5"/>
  <c r="AC190" i="5"/>
  <c r="T190" i="5"/>
  <c r="AE190" i="5"/>
  <c r="R190" i="5"/>
  <c r="N190" i="5"/>
  <c r="U190" i="5"/>
  <c r="P190" i="5"/>
  <c r="AA190" i="5"/>
  <c r="Q190" i="5"/>
  <c r="E190" i="5"/>
  <c r="F190" i="5"/>
  <c r="M190" i="5"/>
  <c r="L190" i="5"/>
  <c r="W190" i="5"/>
  <c r="I190" i="5"/>
  <c r="H190" i="5"/>
  <c r="S190" i="5"/>
  <c r="D190" i="5"/>
  <c r="D215" i="5"/>
  <c r="O190" i="5"/>
  <c r="Z190" i="5"/>
  <c r="K190" i="5"/>
  <c r="J190" i="5"/>
  <c r="G190" i="5"/>
  <c r="AJ190" i="5"/>
  <c r="AF190" i="5"/>
  <c r="AG190" i="5"/>
  <c r="AB190" i="5"/>
  <c r="AA191" i="5"/>
  <c r="AG191" i="5"/>
  <c r="P191" i="5"/>
  <c r="T191" i="5"/>
  <c r="AH191" i="5"/>
  <c r="AI191" i="5"/>
  <c r="D191" i="5"/>
  <c r="AD191" i="5"/>
  <c r="Y191" i="5"/>
  <c r="U191" i="5"/>
  <c r="X191" i="5"/>
  <c r="AC191" i="5"/>
  <c r="AF191" i="5"/>
  <c r="AJ191" i="5"/>
  <c r="Q191" i="5"/>
  <c r="L191" i="5"/>
  <c r="AB191" i="5"/>
  <c r="AE191" i="5"/>
  <c r="M191" i="5"/>
  <c r="W191" i="5"/>
  <c r="Z191" i="5"/>
  <c r="I191" i="5"/>
  <c r="H191" i="5"/>
  <c r="S191" i="5"/>
  <c r="V191" i="5"/>
  <c r="E191" i="5"/>
  <c r="O191" i="5"/>
  <c r="R191" i="5"/>
  <c r="K191" i="5"/>
  <c r="N191" i="5"/>
  <c r="G191" i="5"/>
  <c r="J191" i="5"/>
  <c r="C191" i="5"/>
  <c r="C215" i="5"/>
  <c r="F191" i="5"/>
  <c r="C200" i="5"/>
  <c r="AH200" i="5"/>
  <c r="AD200" i="5"/>
  <c r="Z200" i="5"/>
  <c r="V200" i="5"/>
  <c r="R200" i="5"/>
  <c r="AG200" i="5"/>
  <c r="N200" i="5"/>
  <c r="AC200" i="5"/>
  <c r="F200" i="5"/>
  <c r="Y200" i="5"/>
  <c r="J200" i="5"/>
  <c r="AJ200" i="5"/>
  <c r="AI200" i="5"/>
  <c r="U200" i="5"/>
  <c r="AF200" i="5"/>
  <c r="AE200" i="5"/>
  <c r="Q200" i="5"/>
  <c r="AB200" i="5"/>
  <c r="AA200" i="5"/>
  <c r="M200" i="5"/>
  <c r="X200" i="5"/>
  <c r="W200" i="5"/>
  <c r="I200" i="5"/>
  <c r="T200" i="5"/>
  <c r="S200" i="5"/>
  <c r="E200" i="5"/>
  <c r="P200" i="5"/>
  <c r="O200" i="5"/>
  <c r="L200" i="5"/>
  <c r="K200" i="5"/>
  <c r="H200" i="5"/>
  <c r="G200" i="5"/>
  <c r="D200" i="5"/>
  <c r="D219" i="5"/>
  <c r="C201" i="5"/>
  <c r="AD201" i="5"/>
  <c r="P201" i="5"/>
  <c r="AH201" i="5"/>
  <c r="Z201" i="5"/>
  <c r="V201" i="5"/>
  <c r="L201" i="5"/>
  <c r="U201" i="5"/>
  <c r="M201" i="5"/>
  <c r="N201" i="5"/>
  <c r="H201" i="5"/>
  <c r="E201" i="5"/>
  <c r="F201" i="5"/>
  <c r="D201" i="5"/>
  <c r="AC201" i="5"/>
  <c r="Y201" i="5"/>
  <c r="R201" i="5"/>
  <c r="J201" i="5"/>
  <c r="I201" i="5"/>
  <c r="AI201" i="5"/>
  <c r="AE201" i="5"/>
  <c r="AA201" i="5"/>
  <c r="AJ201" i="5"/>
  <c r="W201" i="5"/>
  <c r="AF201" i="5"/>
  <c r="S201" i="5"/>
  <c r="AB201" i="5"/>
  <c r="O201" i="5"/>
  <c r="AG201" i="5"/>
  <c r="X201" i="5"/>
  <c r="K201" i="5"/>
  <c r="Q201" i="5"/>
  <c r="T201" i="5"/>
  <c r="G201" i="5"/>
  <c r="P115" i="9"/>
  <c r="F115" i="9"/>
  <c r="I115" i="9"/>
  <c r="Z115" i="9"/>
  <c r="K115" i="9"/>
  <c r="AA115" i="9"/>
  <c r="U115" i="9"/>
  <c r="V115" i="9"/>
  <c r="W115" i="9"/>
  <c r="T115" i="9"/>
  <c r="Y115" i="9"/>
  <c r="AF115" i="9"/>
  <c r="AJ115" i="9"/>
  <c r="M115" i="9"/>
  <c r="AC115" i="9"/>
  <c r="N115" i="9"/>
  <c r="AD115" i="9"/>
  <c r="O115" i="9"/>
  <c r="AE115" i="9"/>
  <c r="X115" i="9"/>
  <c r="G115" i="9"/>
  <c r="AB115" i="9"/>
  <c r="J115" i="9"/>
  <c r="L115" i="9"/>
  <c r="Q115" i="9"/>
  <c r="AG115" i="9"/>
  <c r="R115" i="9"/>
  <c r="AH115" i="9"/>
  <c r="S115" i="9"/>
  <c r="AI115" i="9"/>
  <c r="L211" i="5"/>
  <c r="K193" i="5"/>
  <c r="K215" i="5"/>
  <c r="K203" i="5"/>
  <c r="K219" i="5"/>
  <c r="U83" i="9"/>
  <c r="U159" i="5"/>
  <c r="O83" i="9"/>
  <c r="O159" i="5"/>
  <c r="AF83" i="9"/>
  <c r="AF159" i="5"/>
  <c r="AD83" i="9"/>
  <c r="AD159" i="5"/>
  <c r="S83" i="9"/>
  <c r="S159" i="5"/>
  <c r="AI83" i="9"/>
  <c r="AI159" i="5"/>
  <c r="T83" i="9"/>
  <c r="T159" i="5"/>
  <c r="AJ83" i="9"/>
  <c r="AJ159" i="5"/>
  <c r="J83" i="9"/>
  <c r="J159" i="5"/>
  <c r="AE83" i="9"/>
  <c r="AE159" i="5"/>
  <c r="R83" i="9"/>
  <c r="R159" i="5"/>
  <c r="Z83" i="9"/>
  <c r="Z159" i="5"/>
  <c r="AH83" i="9"/>
  <c r="AH159" i="5"/>
  <c r="I83" i="9"/>
  <c r="I159" i="5"/>
  <c r="F83" i="9"/>
  <c r="F159" i="5"/>
  <c r="G83" i="9"/>
  <c r="G159" i="5"/>
  <c r="W83" i="9"/>
  <c r="W159" i="5"/>
  <c r="X83" i="9"/>
  <c r="X159" i="5"/>
  <c r="Y83" i="9"/>
  <c r="Y159" i="5"/>
  <c r="V83" i="9"/>
  <c r="V159" i="5"/>
  <c r="P83" i="9"/>
  <c r="P159" i="5"/>
  <c r="AC83" i="9"/>
  <c r="AC159" i="5"/>
  <c r="Q83" i="9"/>
  <c r="Q159" i="5"/>
  <c r="M83" i="9"/>
  <c r="M159" i="5"/>
  <c r="AG83" i="9"/>
  <c r="AG159" i="5"/>
  <c r="N83" i="9"/>
  <c r="N159" i="5"/>
  <c r="K83" i="9"/>
  <c r="K159" i="5"/>
  <c r="AA83" i="9"/>
  <c r="AA159" i="5"/>
  <c r="L83" i="9"/>
  <c r="L159" i="5"/>
  <c r="AB83" i="9"/>
  <c r="AB159" i="5"/>
  <c r="M211" i="5"/>
  <c r="L193" i="5"/>
  <c r="L215" i="5"/>
  <c r="L203" i="5"/>
  <c r="L219" i="5"/>
  <c r="N211" i="5"/>
  <c r="M193" i="5"/>
  <c r="M215" i="5"/>
  <c r="M203" i="5"/>
  <c r="M219" i="5"/>
  <c r="AK238" i="5"/>
  <c r="AL238" i="5"/>
  <c r="AM238" i="5"/>
  <c r="AN238" i="5"/>
  <c r="AO238" i="5"/>
  <c r="AP238" i="5"/>
  <c r="AQ238" i="5"/>
  <c r="AR238" i="5"/>
  <c r="AS238" i="5"/>
  <c r="AT238" i="5"/>
  <c r="AT268" i="5"/>
  <c r="AU238" i="5"/>
  <c r="AU268" i="5"/>
  <c r="AV238" i="5"/>
  <c r="AV268" i="5"/>
  <c r="AW238" i="5"/>
  <c r="AW268" i="5"/>
  <c r="O211" i="5"/>
  <c r="N203" i="5"/>
  <c r="N219" i="5"/>
  <c r="N193" i="5"/>
  <c r="N215" i="5"/>
  <c r="AP239" i="5"/>
  <c r="AQ239" i="5"/>
  <c r="AR239" i="5"/>
  <c r="AS239" i="5"/>
  <c r="AT239" i="5"/>
  <c r="AU239" i="5"/>
  <c r="AV239" i="5"/>
  <c r="AW239" i="5"/>
  <c r="P211" i="5"/>
  <c r="O193" i="5"/>
  <c r="O215" i="5"/>
  <c r="O203" i="5"/>
  <c r="O219" i="5"/>
  <c r="D68" i="5"/>
  <c r="E68" i="5"/>
  <c r="F68" i="5"/>
  <c r="G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C68" i="5"/>
  <c r="Q211" i="5"/>
  <c r="P193" i="5"/>
  <c r="P215" i="5"/>
  <c r="P203" i="5"/>
  <c r="P219" i="5"/>
  <c r="R211" i="5"/>
  <c r="Q203" i="5"/>
  <c r="Q219" i="5"/>
  <c r="Q193" i="5"/>
  <c r="Q215" i="5"/>
  <c r="D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D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C134" i="5"/>
  <c r="C139" i="5"/>
  <c r="D134" i="5"/>
  <c r="F134" i="5"/>
  <c r="G134" i="5"/>
  <c r="H134" i="5"/>
  <c r="I134" i="5"/>
  <c r="J134" i="5"/>
  <c r="K134" i="5"/>
  <c r="L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M134" i="5"/>
  <c r="Z137" i="5"/>
  <c r="N137" i="5"/>
  <c r="AG137" i="5"/>
  <c r="AC137" i="5"/>
  <c r="Y137" i="5"/>
  <c r="U137" i="5"/>
  <c r="Q137" i="5"/>
  <c r="M137" i="5"/>
  <c r="I137" i="5"/>
  <c r="AD137" i="5"/>
  <c r="R137" i="5"/>
  <c r="J137" i="5"/>
  <c r="F137" i="5"/>
  <c r="AF137" i="5"/>
  <c r="AB137" i="5"/>
  <c r="X137" i="5"/>
  <c r="T137" i="5"/>
  <c r="P137" i="5"/>
  <c r="L137" i="5"/>
  <c r="H137" i="5"/>
  <c r="D137" i="5"/>
  <c r="V137" i="5"/>
  <c r="AE137" i="5"/>
  <c r="AA137" i="5"/>
  <c r="W137" i="5"/>
  <c r="S137" i="5"/>
  <c r="O137" i="5"/>
  <c r="K137" i="5"/>
  <c r="G137" i="5"/>
  <c r="S211" i="5"/>
  <c r="R203" i="5"/>
  <c r="R219" i="5"/>
  <c r="R193" i="5"/>
  <c r="R215" i="5"/>
  <c r="C75" i="5"/>
  <c r="L139" i="5"/>
  <c r="O245" i="5"/>
  <c r="O65" i="5"/>
  <c r="AC139" i="5"/>
  <c r="AF245" i="5"/>
  <c r="AF65" i="5"/>
  <c r="D139" i="5"/>
  <c r="G245" i="5"/>
  <c r="G65" i="5"/>
  <c r="P139" i="5"/>
  <c r="S245" i="5"/>
  <c r="S65" i="5"/>
  <c r="AF139" i="5"/>
  <c r="AI245" i="5"/>
  <c r="AI65" i="5"/>
  <c r="AD139" i="5"/>
  <c r="Q139" i="5"/>
  <c r="T245" i="5"/>
  <c r="T65" i="5"/>
  <c r="AG139" i="5"/>
  <c r="AJ245" i="5"/>
  <c r="AJ65" i="5"/>
  <c r="V139" i="5"/>
  <c r="Y245" i="5"/>
  <c r="Y65" i="5"/>
  <c r="M139" i="5"/>
  <c r="P245" i="5"/>
  <c r="P65" i="5"/>
  <c r="G139" i="5"/>
  <c r="J245" i="5"/>
  <c r="J65" i="5"/>
  <c r="K139" i="5"/>
  <c r="N245" i="5"/>
  <c r="N65" i="5"/>
  <c r="AA139" i="5"/>
  <c r="AD245" i="5"/>
  <c r="AD65" i="5"/>
  <c r="T139" i="5"/>
  <c r="F139" i="5"/>
  <c r="I245" i="5"/>
  <c r="I65" i="5"/>
  <c r="H65" i="5"/>
  <c r="U139" i="5"/>
  <c r="X245" i="5"/>
  <c r="X65" i="5"/>
  <c r="N139" i="5"/>
  <c r="S139" i="5"/>
  <c r="V245" i="5"/>
  <c r="V65" i="5"/>
  <c r="AB139" i="5"/>
  <c r="R139" i="5"/>
  <c r="W139" i="5"/>
  <c r="Z245" i="5"/>
  <c r="Z65" i="5"/>
  <c r="O139" i="5"/>
  <c r="R245" i="5"/>
  <c r="R65" i="5"/>
  <c r="AE139" i="5"/>
  <c r="AH245" i="5"/>
  <c r="AH65" i="5"/>
  <c r="H139" i="5"/>
  <c r="X139" i="5"/>
  <c r="AA245" i="5"/>
  <c r="AA65" i="5"/>
  <c r="J139" i="5"/>
  <c r="M245" i="5"/>
  <c r="M65" i="5"/>
  <c r="I139" i="5"/>
  <c r="L245" i="5"/>
  <c r="L65" i="5"/>
  <c r="Y139" i="5"/>
  <c r="AB245" i="5"/>
  <c r="AB65" i="5"/>
  <c r="Z139" i="5"/>
  <c r="AC245" i="5"/>
  <c r="AC65" i="5"/>
  <c r="T211" i="5"/>
  <c r="S193" i="5"/>
  <c r="S215" i="5"/>
  <c r="S203" i="5"/>
  <c r="S219" i="5"/>
  <c r="F245" i="5"/>
  <c r="F65" i="5"/>
  <c r="U211" i="5"/>
  <c r="T193" i="5"/>
  <c r="T215" i="5"/>
  <c r="T203" i="5"/>
  <c r="T219" i="5"/>
  <c r="W245" i="5"/>
  <c r="W65" i="5"/>
  <c r="K245" i="5"/>
  <c r="K65" i="5"/>
  <c r="Q245" i="5"/>
  <c r="Q65" i="5"/>
  <c r="AG245" i="5"/>
  <c r="AG65" i="5"/>
  <c r="AE245" i="5"/>
  <c r="AE65" i="5"/>
  <c r="U245" i="5"/>
  <c r="U65" i="5"/>
  <c r="AF146" i="5"/>
  <c r="AI246" i="5"/>
  <c r="O146" i="5"/>
  <c r="R246" i="5"/>
  <c r="L146" i="5"/>
  <c r="O246" i="5"/>
  <c r="J146" i="5"/>
  <c r="M246" i="5"/>
  <c r="AA146" i="5"/>
  <c r="AD246" i="5"/>
  <c r="AB146" i="5"/>
  <c r="AE246" i="5"/>
  <c r="Z146" i="5"/>
  <c r="AC246" i="5"/>
  <c r="AE146" i="5"/>
  <c r="AH246" i="5"/>
  <c r="M146" i="5"/>
  <c r="P246" i="5"/>
  <c r="K146" i="5"/>
  <c r="N246" i="5"/>
  <c r="AC146" i="5"/>
  <c r="AF246" i="5"/>
  <c r="V146" i="5"/>
  <c r="Y246" i="5"/>
  <c r="P146" i="5"/>
  <c r="S246" i="5"/>
  <c r="S146" i="5"/>
  <c r="V246" i="5"/>
  <c r="N146" i="5"/>
  <c r="Q246" i="5"/>
  <c r="AD146" i="5"/>
  <c r="AG246" i="5"/>
  <c r="D146" i="5"/>
  <c r="G246" i="5"/>
  <c r="T146" i="5"/>
  <c r="W246" i="5"/>
  <c r="R146" i="5"/>
  <c r="U246" i="5"/>
  <c r="Q146" i="5"/>
  <c r="T246" i="5"/>
  <c r="AG146" i="5"/>
  <c r="AJ246" i="5"/>
  <c r="F146" i="5"/>
  <c r="I246" i="5"/>
  <c r="G146" i="5"/>
  <c r="J246" i="5"/>
  <c r="W146" i="5"/>
  <c r="Z246" i="5"/>
  <c r="C146" i="5"/>
  <c r="F246" i="5"/>
  <c r="H146" i="5"/>
  <c r="K246" i="5"/>
  <c r="X146" i="5"/>
  <c r="AA246" i="5"/>
  <c r="U146" i="5"/>
  <c r="X246" i="5"/>
  <c r="I146" i="5"/>
  <c r="L246" i="5"/>
  <c r="Y146" i="5"/>
  <c r="AB246" i="5"/>
  <c r="V211" i="5"/>
  <c r="U203" i="5"/>
  <c r="U219" i="5"/>
  <c r="U193" i="5"/>
  <c r="U215" i="5"/>
  <c r="D100" i="5"/>
  <c r="W211" i="5"/>
  <c r="V203" i="5"/>
  <c r="V219" i="5"/>
  <c r="V193" i="5"/>
  <c r="V215" i="5"/>
  <c r="AL239" i="5"/>
  <c r="AK239" i="5"/>
  <c r="AM239" i="5"/>
  <c r="AN239" i="5"/>
  <c r="AO239" i="5"/>
  <c r="AG239" i="5"/>
  <c r="AI239" i="5"/>
  <c r="AJ239" i="5"/>
  <c r="AH239" i="5"/>
  <c r="AF239" i="5"/>
  <c r="AB239" i="5"/>
  <c r="AD239" i="5"/>
  <c r="AA239" i="5"/>
  <c r="AC239" i="5"/>
  <c r="AE239" i="5"/>
  <c r="J239" i="5"/>
  <c r="N239" i="5"/>
  <c r="P239" i="5"/>
  <c r="M239" i="5"/>
  <c r="K239" i="5"/>
  <c r="O239" i="5"/>
  <c r="L239" i="5"/>
  <c r="I239" i="5"/>
  <c r="T239" i="5"/>
  <c r="X239" i="5"/>
  <c r="Q239" i="5"/>
  <c r="Y239" i="5"/>
  <c r="U239" i="5"/>
  <c r="R239" i="5"/>
  <c r="V239" i="5"/>
  <c r="Z239" i="5"/>
  <c r="S239" i="5"/>
  <c r="W239" i="5"/>
  <c r="F253" i="5"/>
  <c r="F254" i="5"/>
  <c r="X211" i="5"/>
  <c r="W193" i="5"/>
  <c r="W215" i="5"/>
  <c r="W203" i="5"/>
  <c r="W219" i="5"/>
  <c r="AP268" i="5"/>
  <c r="AL268" i="5"/>
  <c r="AS268" i="5"/>
  <c r="AO268" i="5"/>
  <c r="AK268" i="5"/>
  <c r="AR268" i="5"/>
  <c r="AN268" i="5"/>
  <c r="AJ268" i="5"/>
  <c r="AQ268" i="5"/>
  <c r="AM268" i="5"/>
  <c r="Y211" i="5"/>
  <c r="X193" i="5"/>
  <c r="X215" i="5"/>
  <c r="X203" i="5"/>
  <c r="X219" i="5"/>
  <c r="Z211" i="5"/>
  <c r="Y193" i="5"/>
  <c r="Y215" i="5"/>
  <c r="Y203" i="5"/>
  <c r="Y219" i="5"/>
  <c r="F256" i="5"/>
  <c r="AA211" i="5"/>
  <c r="Z203" i="5"/>
  <c r="Z219" i="5"/>
  <c r="Z193" i="5"/>
  <c r="Z215" i="5"/>
  <c r="F257" i="5"/>
  <c r="F258" i="5"/>
  <c r="G256" i="5"/>
  <c r="G257" i="5"/>
  <c r="L256" i="5"/>
  <c r="L257" i="5"/>
  <c r="AT256" i="5"/>
  <c r="AT257" i="5"/>
  <c r="AQ256" i="5"/>
  <c r="AQ257" i="5"/>
  <c r="U256" i="5"/>
  <c r="U257" i="5"/>
  <c r="I256" i="5"/>
  <c r="I257" i="5"/>
  <c r="V256" i="5"/>
  <c r="V257" i="5"/>
  <c r="T256" i="5"/>
  <c r="T257" i="5"/>
  <c r="P256" i="5"/>
  <c r="P257" i="5"/>
  <c r="J256" i="5"/>
  <c r="J257" i="5"/>
  <c r="AW256" i="5"/>
  <c r="AW257" i="5"/>
  <c r="AC256" i="5"/>
  <c r="AC257" i="5"/>
  <c r="AA256" i="5"/>
  <c r="AA257" i="5"/>
  <c r="Q256" i="5"/>
  <c r="Q257" i="5"/>
  <c r="Z256" i="5"/>
  <c r="Z257" i="5"/>
  <c r="AV256" i="5"/>
  <c r="AV257" i="5"/>
  <c r="W256" i="5"/>
  <c r="W257" i="5"/>
  <c r="AR256" i="5"/>
  <c r="AR257" i="5"/>
  <c r="K256" i="5"/>
  <c r="K257" i="5"/>
  <c r="M256" i="5"/>
  <c r="M257" i="5"/>
  <c r="AI256" i="5"/>
  <c r="AI257" i="5"/>
  <c r="S256" i="5"/>
  <c r="S257" i="5"/>
  <c r="AG256" i="5"/>
  <c r="AG257" i="5"/>
  <c r="AF256" i="5"/>
  <c r="AF257" i="5"/>
  <c r="AH256" i="5"/>
  <c r="AH257" i="5"/>
  <c r="R256" i="5"/>
  <c r="R257" i="5"/>
  <c r="AL256" i="5"/>
  <c r="AL257" i="5"/>
  <c r="AN256" i="5"/>
  <c r="AN257" i="5"/>
  <c r="AO256" i="5"/>
  <c r="AO257" i="5"/>
  <c r="AM256" i="5"/>
  <c r="AM257" i="5"/>
  <c r="AB256" i="5"/>
  <c r="AB257" i="5"/>
  <c r="AE256" i="5"/>
  <c r="AE257" i="5"/>
  <c r="O256" i="5"/>
  <c r="O257" i="5"/>
  <c r="Y256" i="5"/>
  <c r="Y257" i="5"/>
  <c r="X256" i="5"/>
  <c r="X257" i="5"/>
  <c r="AD256" i="5"/>
  <c r="AD257" i="5"/>
  <c r="N256" i="5"/>
  <c r="N257" i="5"/>
  <c r="AS256" i="5"/>
  <c r="AS257" i="5"/>
  <c r="AJ256" i="5"/>
  <c r="AJ257" i="5"/>
  <c r="AK256" i="5"/>
  <c r="AK257" i="5"/>
  <c r="AP256" i="5"/>
  <c r="AP257" i="5"/>
  <c r="AU256" i="5"/>
  <c r="AU257" i="5"/>
  <c r="AB211" i="5"/>
  <c r="AA193" i="5"/>
  <c r="AA215" i="5"/>
  <c r="AA203" i="5"/>
  <c r="AA219" i="5"/>
  <c r="G258" i="5"/>
  <c r="H258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C211" i="5"/>
  <c r="AB193" i="5"/>
  <c r="AB215" i="5"/>
  <c r="AB203" i="5"/>
  <c r="AB219" i="5"/>
  <c r="E233" i="5"/>
  <c r="G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C236" i="5"/>
  <c r="C235" i="5"/>
  <c r="D233" i="5"/>
  <c r="C233" i="5"/>
  <c r="C63" i="5"/>
  <c r="AD211" i="5"/>
  <c r="AC203" i="5"/>
  <c r="AC219" i="5"/>
  <c r="AC193" i="5"/>
  <c r="AC215" i="5"/>
  <c r="AH268" i="5"/>
  <c r="Z268" i="5"/>
  <c r="Q268" i="5"/>
  <c r="I268" i="5"/>
  <c r="AG268" i="5"/>
  <c r="Y268" i="5"/>
  <c r="P268" i="5"/>
  <c r="H268" i="5"/>
  <c r="AF268" i="5"/>
  <c r="AB268" i="5"/>
  <c r="X268" i="5"/>
  <c r="S268" i="5"/>
  <c r="O268" i="5"/>
  <c r="K268" i="5"/>
  <c r="G268" i="5"/>
  <c r="AD268" i="5"/>
  <c r="V268" i="5"/>
  <c r="U268" i="5"/>
  <c r="M268" i="5"/>
  <c r="AC268" i="5"/>
  <c r="T268" i="5"/>
  <c r="L268" i="5"/>
  <c r="AI268" i="5"/>
  <c r="AE268" i="5"/>
  <c r="AA268" i="5"/>
  <c r="W268" i="5"/>
  <c r="R268" i="5"/>
  <c r="N268" i="5"/>
  <c r="J268" i="5"/>
  <c r="F268" i="5"/>
  <c r="D236" i="5"/>
  <c r="E236" i="5"/>
  <c r="E235" i="5"/>
  <c r="E63" i="5"/>
  <c r="G254" i="5"/>
  <c r="H254" i="5"/>
  <c r="I254" i="5"/>
  <c r="J254" i="5"/>
  <c r="K254" i="5"/>
  <c r="L254" i="5"/>
  <c r="M254" i="5"/>
  <c r="N254" i="5"/>
  <c r="O254" i="5"/>
  <c r="P254" i="5"/>
  <c r="Q254" i="5"/>
  <c r="R254" i="5"/>
  <c r="S254" i="5"/>
  <c r="T254" i="5"/>
  <c r="U254" i="5"/>
  <c r="AE211" i="5"/>
  <c r="AD203" i="5"/>
  <c r="AD219" i="5"/>
  <c r="AD193" i="5"/>
  <c r="AD215" i="5"/>
  <c r="D235" i="5"/>
  <c r="D63" i="5"/>
  <c r="AF211" i="5"/>
  <c r="AE193" i="5"/>
  <c r="AE215" i="5"/>
  <c r="AE203" i="5"/>
  <c r="AE219" i="5"/>
  <c r="I234" i="5"/>
  <c r="M234" i="5"/>
  <c r="L234" i="5"/>
  <c r="J234" i="5"/>
  <c r="N234" i="5"/>
  <c r="K234" i="5"/>
  <c r="O234" i="5"/>
  <c r="H234" i="5"/>
  <c r="AG211" i="5"/>
  <c r="AF193" i="5"/>
  <c r="AF215" i="5"/>
  <c r="AF203" i="5"/>
  <c r="AF219" i="5"/>
  <c r="E31" i="9"/>
  <c r="H31" i="9"/>
  <c r="E30" i="9"/>
  <c r="H30" i="9"/>
  <c r="C31" i="9"/>
  <c r="F31" i="9"/>
  <c r="C30" i="9"/>
  <c r="F30" i="9"/>
  <c r="C29" i="9"/>
  <c r="F29" i="9"/>
  <c r="H15" i="9"/>
  <c r="H14" i="9"/>
  <c r="G16" i="9"/>
  <c r="G15" i="9"/>
  <c r="G14" i="9"/>
  <c r="E15" i="9"/>
  <c r="L15" i="9"/>
  <c r="E14" i="9"/>
  <c r="D16" i="9"/>
  <c r="D15" i="9"/>
  <c r="D14" i="9"/>
  <c r="K14" i="9"/>
  <c r="AH211" i="5"/>
  <c r="AG193" i="5"/>
  <c r="AG215" i="5"/>
  <c r="AG203" i="5"/>
  <c r="AG219" i="5"/>
  <c r="AI96" i="9"/>
  <c r="AE96" i="9"/>
  <c r="AA96" i="9"/>
  <c r="W96" i="9"/>
  <c r="S96" i="9"/>
  <c r="O96" i="9"/>
  <c r="AG96" i="9"/>
  <c r="AC96" i="9"/>
  <c r="Y96" i="9"/>
  <c r="U96" i="9"/>
  <c r="Q96" i="9"/>
  <c r="M96" i="9"/>
  <c r="I96" i="9"/>
  <c r="AJ96" i="9"/>
  <c r="AB96" i="9"/>
  <c r="T96" i="9"/>
  <c r="L96" i="9"/>
  <c r="G96" i="9"/>
  <c r="AH96" i="9"/>
  <c r="Z96" i="9"/>
  <c r="R96" i="9"/>
  <c r="K96" i="9"/>
  <c r="F96" i="9"/>
  <c r="V96" i="9"/>
  <c r="H96" i="9"/>
  <c r="N96" i="9"/>
  <c r="AF96" i="9"/>
  <c r="P96" i="9"/>
  <c r="AD96" i="9"/>
  <c r="X96" i="9"/>
  <c r="J96" i="9"/>
  <c r="E73" i="9"/>
  <c r="E152" i="5"/>
  <c r="C73" i="9"/>
  <c r="C152" i="5"/>
  <c r="D73" i="9"/>
  <c r="D152" i="5"/>
  <c r="AI121" i="9"/>
  <c r="AI167" i="5"/>
  <c r="AE121" i="9"/>
  <c r="AE167" i="5"/>
  <c r="AA121" i="9"/>
  <c r="AA167" i="5"/>
  <c r="W121" i="9"/>
  <c r="W167" i="5"/>
  <c r="S121" i="9"/>
  <c r="S167" i="5"/>
  <c r="O121" i="9"/>
  <c r="O167" i="5"/>
  <c r="K121" i="9"/>
  <c r="K167" i="5"/>
  <c r="G121" i="9"/>
  <c r="G167" i="5"/>
  <c r="AJ118" i="9"/>
  <c r="AF118" i="9"/>
  <c r="AB118" i="9"/>
  <c r="X118" i="9"/>
  <c r="T118" i="9"/>
  <c r="P118" i="9"/>
  <c r="L118" i="9"/>
  <c r="H118" i="9"/>
  <c r="AH121" i="9"/>
  <c r="AH167" i="5"/>
  <c r="AD121" i="9"/>
  <c r="AD167" i="5"/>
  <c r="Z121" i="9"/>
  <c r="Z167" i="5"/>
  <c r="V121" i="9"/>
  <c r="V167" i="5"/>
  <c r="R121" i="9"/>
  <c r="R167" i="5"/>
  <c r="N121" i="9"/>
  <c r="N167" i="5"/>
  <c r="J121" i="9"/>
  <c r="J167" i="5"/>
  <c r="F121" i="9"/>
  <c r="F167" i="5"/>
  <c r="AI118" i="9"/>
  <c r="AE118" i="9"/>
  <c r="AA118" i="9"/>
  <c r="W118" i="9"/>
  <c r="S118" i="9"/>
  <c r="O118" i="9"/>
  <c r="K118" i="9"/>
  <c r="G118" i="9"/>
  <c r="AG121" i="9"/>
  <c r="AG167" i="5"/>
  <c r="AC121" i="9"/>
  <c r="AC167" i="5"/>
  <c r="Y121" i="9"/>
  <c r="Y167" i="5"/>
  <c r="U121" i="9"/>
  <c r="U167" i="5"/>
  <c r="Q121" i="9"/>
  <c r="Q167" i="5"/>
  <c r="M121" i="9"/>
  <c r="M167" i="5"/>
  <c r="I121" i="9"/>
  <c r="I167" i="5"/>
  <c r="AH118" i="9"/>
  <c r="AD118" i="9"/>
  <c r="Z118" i="9"/>
  <c r="V118" i="9"/>
  <c r="R118" i="9"/>
  <c r="N118" i="9"/>
  <c r="J118" i="9"/>
  <c r="F118" i="9"/>
  <c r="AF121" i="9"/>
  <c r="AF167" i="5"/>
  <c r="P121" i="9"/>
  <c r="P167" i="5"/>
  <c r="Y118" i="9"/>
  <c r="I118" i="9"/>
  <c r="AB121" i="9"/>
  <c r="AB167" i="5"/>
  <c r="L121" i="9"/>
  <c r="L167" i="5"/>
  <c r="U118" i="9"/>
  <c r="X121" i="9"/>
  <c r="X167" i="5"/>
  <c r="Q118" i="9"/>
  <c r="H121" i="9"/>
  <c r="AC118" i="9"/>
  <c r="T121" i="9"/>
  <c r="T167" i="5"/>
  <c r="M118" i="9"/>
  <c r="AG118" i="9"/>
  <c r="AJ121" i="9"/>
  <c r="AJ167" i="5"/>
  <c r="AH78" i="9"/>
  <c r="AD78" i="9"/>
  <c r="Z78" i="9"/>
  <c r="V78" i="9"/>
  <c r="R78" i="9"/>
  <c r="N78" i="9"/>
  <c r="J78" i="9"/>
  <c r="F78" i="9"/>
  <c r="AG78" i="9"/>
  <c r="AC78" i="9"/>
  <c r="Y78" i="9"/>
  <c r="AJ78" i="9"/>
  <c r="AB78" i="9"/>
  <c r="U78" i="9"/>
  <c r="P78" i="9"/>
  <c r="K78" i="9"/>
  <c r="X78" i="9"/>
  <c r="M78" i="9"/>
  <c r="W78" i="9"/>
  <c r="L78" i="9"/>
  <c r="AI78" i="9"/>
  <c r="AA78" i="9"/>
  <c r="T78" i="9"/>
  <c r="O78" i="9"/>
  <c r="I78" i="9"/>
  <c r="AF78" i="9"/>
  <c r="S78" i="9"/>
  <c r="H78" i="9"/>
  <c r="AE78" i="9"/>
  <c r="Q78" i="9"/>
  <c r="G78" i="9"/>
  <c r="AI104" i="9"/>
  <c r="AI176" i="5"/>
  <c r="AE104" i="9"/>
  <c r="AE176" i="5"/>
  <c r="AA104" i="9"/>
  <c r="AA176" i="5"/>
  <c r="W104" i="9"/>
  <c r="W176" i="5"/>
  <c r="S104" i="9"/>
  <c r="S176" i="5"/>
  <c r="O104" i="9"/>
  <c r="O176" i="5"/>
  <c r="K104" i="9"/>
  <c r="K176" i="5"/>
  <c r="G104" i="9"/>
  <c r="G176" i="5"/>
  <c r="AJ101" i="9"/>
  <c r="AF101" i="9"/>
  <c r="AB101" i="9"/>
  <c r="X101" i="9"/>
  <c r="T101" i="9"/>
  <c r="P101" i="9"/>
  <c r="L101" i="9"/>
  <c r="H101" i="9"/>
  <c r="AG104" i="9"/>
  <c r="AG176" i="5"/>
  <c r="AC104" i="9"/>
  <c r="AC176" i="5"/>
  <c r="Y104" i="9"/>
  <c r="Y176" i="5"/>
  <c r="U104" i="9"/>
  <c r="U176" i="5"/>
  <c r="Q104" i="9"/>
  <c r="Q176" i="5"/>
  <c r="M104" i="9"/>
  <c r="M176" i="5"/>
  <c r="I104" i="9"/>
  <c r="I176" i="5"/>
  <c r="AH101" i="9"/>
  <c r="AD101" i="9"/>
  <c r="Z101" i="9"/>
  <c r="V101" i="9"/>
  <c r="R101" i="9"/>
  <c r="N101" i="9"/>
  <c r="J101" i="9"/>
  <c r="F101" i="9"/>
  <c r="AF104" i="9"/>
  <c r="AF176" i="5"/>
  <c r="X104" i="9"/>
  <c r="X176" i="5"/>
  <c r="P104" i="9"/>
  <c r="P176" i="5"/>
  <c r="H104" i="9"/>
  <c r="AC101" i="9"/>
  <c r="U101" i="9"/>
  <c r="M101" i="9"/>
  <c r="AD104" i="9"/>
  <c r="AD176" i="5"/>
  <c r="V104" i="9"/>
  <c r="V176" i="5"/>
  <c r="N104" i="9"/>
  <c r="N176" i="5"/>
  <c r="F104" i="9"/>
  <c r="F176" i="5"/>
  <c r="AI101" i="9"/>
  <c r="AA101" i="9"/>
  <c r="S101" i="9"/>
  <c r="K101" i="9"/>
  <c r="AB104" i="9"/>
  <c r="AB176" i="5"/>
  <c r="L104" i="9"/>
  <c r="L176" i="5"/>
  <c r="W101" i="9"/>
  <c r="G101" i="9"/>
  <c r="AJ104" i="9"/>
  <c r="AJ176" i="5"/>
  <c r="T104" i="9"/>
  <c r="T176" i="5"/>
  <c r="O101" i="9"/>
  <c r="R104" i="9"/>
  <c r="R176" i="5"/>
  <c r="I101" i="9"/>
  <c r="Z104" i="9"/>
  <c r="Z176" i="5"/>
  <c r="J104" i="9"/>
  <c r="J176" i="5"/>
  <c r="AG101" i="9"/>
  <c r="Q101" i="9"/>
  <c r="AE101" i="9"/>
  <c r="AH104" i="9"/>
  <c r="AH176" i="5"/>
  <c r="Y101" i="9"/>
  <c r="L14" i="9"/>
  <c r="E90" i="9"/>
  <c r="E170" i="5"/>
  <c r="D90" i="9"/>
  <c r="D170" i="5"/>
  <c r="C90" i="9"/>
  <c r="C170" i="5"/>
  <c r="E107" i="9"/>
  <c r="E161" i="5"/>
  <c r="D107" i="9"/>
  <c r="D161" i="5"/>
  <c r="C107" i="9"/>
  <c r="C161" i="5"/>
  <c r="K16" i="9"/>
  <c r="K15" i="9"/>
  <c r="AD98" i="9"/>
  <c r="Y98" i="9"/>
  <c r="P98" i="9"/>
  <c r="V98" i="9"/>
  <c r="Z98" i="9"/>
  <c r="T98" i="9"/>
  <c r="M98" i="9"/>
  <c r="AC98" i="9"/>
  <c r="W98" i="9"/>
  <c r="L98" i="9"/>
  <c r="AI98" i="9"/>
  <c r="J98" i="9"/>
  <c r="AF98" i="9"/>
  <c r="F98" i="9"/>
  <c r="AH98" i="9"/>
  <c r="AB98" i="9"/>
  <c r="Q98" i="9"/>
  <c r="AG98" i="9"/>
  <c r="AA98" i="9"/>
  <c r="R98" i="9"/>
  <c r="I98" i="9"/>
  <c r="S98" i="9"/>
  <c r="X98" i="9"/>
  <c r="N98" i="9"/>
  <c r="K98" i="9"/>
  <c r="G98" i="9"/>
  <c r="AJ98" i="9"/>
  <c r="U98" i="9"/>
  <c r="O98" i="9"/>
  <c r="AE98" i="9"/>
  <c r="L80" i="9"/>
  <c r="AJ80" i="9"/>
  <c r="E214" i="5"/>
  <c r="E218" i="5"/>
  <c r="G80" i="9"/>
  <c r="S80" i="9"/>
  <c r="T80" i="9"/>
  <c r="W80" i="9"/>
  <c r="P80" i="9"/>
  <c r="Y80" i="9"/>
  <c r="J80" i="9"/>
  <c r="Z80" i="9"/>
  <c r="E210" i="5"/>
  <c r="E248" i="5"/>
  <c r="D214" i="5"/>
  <c r="O80" i="9"/>
  <c r="K80" i="9"/>
  <c r="F80" i="9"/>
  <c r="C210" i="5"/>
  <c r="Q80" i="9"/>
  <c r="AF80" i="9"/>
  <c r="AA80" i="9"/>
  <c r="M80" i="9"/>
  <c r="U80" i="9"/>
  <c r="AC80" i="9"/>
  <c r="N80" i="9"/>
  <c r="AD80" i="9"/>
  <c r="D218" i="5"/>
  <c r="V80" i="9"/>
  <c r="C214" i="5"/>
  <c r="C218" i="5"/>
  <c r="AE80" i="9"/>
  <c r="I80" i="9"/>
  <c r="AI80" i="9"/>
  <c r="X80" i="9"/>
  <c r="AB80" i="9"/>
  <c r="AG80" i="9"/>
  <c r="R80" i="9"/>
  <c r="AH80" i="9"/>
  <c r="D210" i="5"/>
  <c r="D248" i="5"/>
  <c r="AI211" i="5"/>
  <c r="AH203" i="5"/>
  <c r="AH219" i="5"/>
  <c r="AH193" i="5"/>
  <c r="AH215" i="5"/>
  <c r="AH95" i="9"/>
  <c r="AD95" i="9"/>
  <c r="Z95" i="9"/>
  <c r="V95" i="9"/>
  <c r="R95" i="9"/>
  <c r="N95" i="9"/>
  <c r="J95" i="9"/>
  <c r="F95" i="9"/>
  <c r="AG95" i="9"/>
  <c r="AC95" i="9"/>
  <c r="Y95" i="9"/>
  <c r="U95" i="9"/>
  <c r="Q95" i="9"/>
  <c r="M95" i="9"/>
  <c r="I95" i="9"/>
  <c r="AE95" i="9"/>
  <c r="W95" i="9"/>
  <c r="O95" i="9"/>
  <c r="G95" i="9"/>
  <c r="AI95" i="9"/>
  <c r="S95" i="9"/>
  <c r="K95" i="9"/>
  <c r="AF95" i="9"/>
  <c r="P95" i="9"/>
  <c r="AJ95" i="9"/>
  <c r="AB95" i="9"/>
  <c r="T95" i="9"/>
  <c r="L95" i="9"/>
  <c r="AA95" i="9"/>
  <c r="X95" i="9"/>
  <c r="H95" i="9"/>
  <c r="AI79" i="9"/>
  <c r="AE79" i="9"/>
  <c r="AA79" i="9"/>
  <c r="W79" i="9"/>
  <c r="S79" i="9"/>
  <c r="O79" i="9"/>
  <c r="K79" i="9"/>
  <c r="G79" i="9"/>
  <c r="AH79" i="9"/>
  <c r="AD79" i="9"/>
  <c r="Z79" i="9"/>
  <c r="V79" i="9"/>
  <c r="R79" i="9"/>
  <c r="N79" i="9"/>
  <c r="J79" i="9"/>
  <c r="F79" i="9"/>
  <c r="AC79" i="9"/>
  <c r="U79" i="9"/>
  <c r="M79" i="9"/>
  <c r="AG79" i="9"/>
  <c r="Q79" i="9"/>
  <c r="I79" i="9"/>
  <c r="AF79" i="9"/>
  <c r="H79" i="9"/>
  <c r="AJ79" i="9"/>
  <c r="AB79" i="9"/>
  <c r="T79" i="9"/>
  <c r="L79" i="9"/>
  <c r="Y79" i="9"/>
  <c r="X79" i="9"/>
  <c r="P79" i="9"/>
  <c r="AH112" i="9"/>
  <c r="AD112" i="9"/>
  <c r="Z112" i="9"/>
  <c r="V112" i="9"/>
  <c r="R112" i="9"/>
  <c r="N112" i="9"/>
  <c r="J112" i="9"/>
  <c r="F112" i="9"/>
  <c r="AG112" i="9"/>
  <c r="AC112" i="9"/>
  <c r="Y112" i="9"/>
  <c r="U112" i="9"/>
  <c r="Q112" i="9"/>
  <c r="M112" i="9"/>
  <c r="I112" i="9"/>
  <c r="AJ112" i="9"/>
  <c r="AF112" i="9"/>
  <c r="AB112" i="9"/>
  <c r="X112" i="9"/>
  <c r="T112" i="9"/>
  <c r="P112" i="9"/>
  <c r="L112" i="9"/>
  <c r="H112" i="9"/>
  <c r="W112" i="9"/>
  <c r="G112" i="9"/>
  <c r="AI112" i="9"/>
  <c r="S112" i="9"/>
  <c r="O112" i="9"/>
  <c r="AA112" i="9"/>
  <c r="K112" i="9"/>
  <c r="AE112" i="9"/>
  <c r="AE114" i="9"/>
  <c r="AE165" i="5"/>
  <c r="I114" i="9"/>
  <c r="I165" i="5"/>
  <c r="AJ97" i="9"/>
  <c r="AJ174" i="5"/>
  <c r="Q97" i="9"/>
  <c r="Q174" i="5"/>
  <c r="AH97" i="9"/>
  <c r="AH174" i="5"/>
  <c r="K114" i="9"/>
  <c r="K165" i="5"/>
  <c r="AC114" i="9"/>
  <c r="AC165" i="5"/>
  <c r="L97" i="9"/>
  <c r="L174" i="5"/>
  <c r="AE97" i="9"/>
  <c r="AE174" i="5"/>
  <c r="F97" i="9"/>
  <c r="F174" i="5"/>
  <c r="Y114" i="9"/>
  <c r="Y165" i="5"/>
  <c r="Z114" i="9"/>
  <c r="Z165" i="5"/>
  <c r="W97" i="9"/>
  <c r="W174" i="5"/>
  <c r="AI114" i="9"/>
  <c r="AI165" i="5"/>
  <c r="AB114" i="9"/>
  <c r="AB165" i="5"/>
  <c r="AD114" i="9"/>
  <c r="AD165" i="5"/>
  <c r="P97" i="9"/>
  <c r="P174" i="5"/>
  <c r="AI97" i="9"/>
  <c r="AI174" i="5"/>
  <c r="U97" i="9"/>
  <c r="U174" i="5"/>
  <c r="V97" i="9"/>
  <c r="V174" i="5"/>
  <c r="AA114" i="9"/>
  <c r="AA165" i="5"/>
  <c r="G114" i="9"/>
  <c r="P114" i="9"/>
  <c r="P165" i="5"/>
  <c r="AF114" i="9"/>
  <c r="AF165" i="5"/>
  <c r="Q114" i="9"/>
  <c r="Q165" i="5"/>
  <c r="AG114" i="9"/>
  <c r="AG165" i="5"/>
  <c r="R114" i="9"/>
  <c r="R165" i="5"/>
  <c r="AH114" i="9"/>
  <c r="AH165" i="5"/>
  <c r="T97" i="9"/>
  <c r="T174" i="5"/>
  <c r="AF97" i="9"/>
  <c r="AF174" i="5"/>
  <c r="G97" i="9"/>
  <c r="G174" i="5"/>
  <c r="I97" i="9"/>
  <c r="I174" i="5"/>
  <c r="Y97" i="9"/>
  <c r="Y174" i="5"/>
  <c r="J97" i="9"/>
  <c r="J174" i="5"/>
  <c r="Z97" i="9"/>
  <c r="Z174" i="5"/>
  <c r="S114" i="9"/>
  <c r="S165" i="5"/>
  <c r="X114" i="9"/>
  <c r="X165" i="5"/>
  <c r="J114" i="9"/>
  <c r="J165" i="5"/>
  <c r="AA97" i="9"/>
  <c r="AA174" i="5"/>
  <c r="S97" i="9"/>
  <c r="S174" i="5"/>
  <c r="AG97" i="9"/>
  <c r="AG174" i="5"/>
  <c r="R97" i="9"/>
  <c r="R174" i="5"/>
  <c r="L114" i="9"/>
  <c r="L165" i="5"/>
  <c r="M114" i="9"/>
  <c r="M165" i="5"/>
  <c r="N114" i="9"/>
  <c r="N165" i="5"/>
  <c r="O114" i="9"/>
  <c r="O165" i="5"/>
  <c r="W114" i="9"/>
  <c r="W165" i="5"/>
  <c r="T114" i="9"/>
  <c r="T165" i="5"/>
  <c r="AJ114" i="9"/>
  <c r="AJ165" i="5"/>
  <c r="U114" i="9"/>
  <c r="U165" i="5"/>
  <c r="F114" i="9"/>
  <c r="F165" i="5"/>
  <c r="V114" i="9"/>
  <c r="V165" i="5"/>
  <c r="X97" i="9"/>
  <c r="X174" i="5"/>
  <c r="AB97" i="9"/>
  <c r="AB174" i="5"/>
  <c r="K97" i="9"/>
  <c r="K174" i="5"/>
  <c r="O97" i="9"/>
  <c r="O174" i="5"/>
  <c r="M97" i="9"/>
  <c r="M174" i="5"/>
  <c r="AC97" i="9"/>
  <c r="AC174" i="5"/>
  <c r="N97" i="9"/>
  <c r="N174" i="5"/>
  <c r="AD97" i="9"/>
  <c r="AD174" i="5"/>
  <c r="X81" i="9"/>
  <c r="X156" i="5"/>
  <c r="I81" i="9"/>
  <c r="I156" i="5"/>
  <c r="U81" i="9"/>
  <c r="U156" i="5"/>
  <c r="AD81" i="9"/>
  <c r="AD156" i="5"/>
  <c r="AE81" i="9"/>
  <c r="AE156" i="5"/>
  <c r="AJ81" i="9"/>
  <c r="AJ156" i="5"/>
  <c r="AC81" i="9"/>
  <c r="AC156" i="5"/>
  <c r="AH81" i="9"/>
  <c r="AH156" i="5"/>
  <c r="AI81" i="9"/>
  <c r="AI156" i="5"/>
  <c r="L81" i="9"/>
  <c r="L156" i="5"/>
  <c r="AG81" i="9"/>
  <c r="AG156" i="5"/>
  <c r="F81" i="9"/>
  <c r="F156" i="5"/>
  <c r="V81" i="9"/>
  <c r="V156" i="5"/>
  <c r="G81" i="9"/>
  <c r="G156" i="5"/>
  <c r="W81" i="9"/>
  <c r="W156" i="5"/>
  <c r="AB81" i="9"/>
  <c r="AB156" i="5"/>
  <c r="N81" i="9"/>
  <c r="N156" i="5"/>
  <c r="O81" i="9"/>
  <c r="O156" i="5"/>
  <c r="Y81" i="9"/>
  <c r="Y156" i="5"/>
  <c r="Q81" i="9"/>
  <c r="Q156" i="5"/>
  <c r="R81" i="9"/>
  <c r="R156" i="5"/>
  <c r="S81" i="9"/>
  <c r="S156" i="5"/>
  <c r="P81" i="9"/>
  <c r="P156" i="5"/>
  <c r="T81" i="9"/>
  <c r="T156" i="5"/>
  <c r="AF81" i="9"/>
  <c r="AF156" i="5"/>
  <c r="M81" i="9"/>
  <c r="M156" i="5"/>
  <c r="J81" i="9"/>
  <c r="J156" i="5"/>
  <c r="Z81" i="9"/>
  <c r="Z156" i="5"/>
  <c r="K81" i="9"/>
  <c r="K156" i="5"/>
  <c r="AA81" i="9"/>
  <c r="AA156" i="5"/>
  <c r="AJ211" i="5"/>
  <c r="AI193" i="5"/>
  <c r="AI215" i="5"/>
  <c r="AI203" i="5"/>
  <c r="AI219" i="5"/>
  <c r="G165" i="5"/>
  <c r="G214" i="5"/>
  <c r="G210" i="5"/>
  <c r="G212" i="5"/>
  <c r="G248" i="5"/>
  <c r="X210" i="5"/>
  <c r="X212" i="5"/>
  <c r="X248" i="5"/>
  <c r="L210" i="5"/>
  <c r="L212" i="5"/>
  <c r="L248" i="5"/>
  <c r="AB210" i="5"/>
  <c r="AB212" i="5"/>
  <c r="AB248" i="5"/>
  <c r="F210" i="5"/>
  <c r="F248" i="5"/>
  <c r="S210" i="5"/>
  <c r="S212" i="5"/>
  <c r="S248" i="5"/>
  <c r="Z210" i="5"/>
  <c r="Z212" i="5"/>
  <c r="Z248" i="5"/>
  <c r="AC210" i="5"/>
  <c r="AC212" i="5"/>
  <c r="AC248" i="5"/>
  <c r="AE210" i="5"/>
  <c r="AE212" i="5"/>
  <c r="AE248" i="5"/>
  <c r="U210" i="5"/>
  <c r="U212" i="5"/>
  <c r="U248" i="5"/>
  <c r="Y210" i="5"/>
  <c r="Y212" i="5"/>
  <c r="Y248" i="5"/>
  <c r="O210" i="5"/>
  <c r="O212" i="5"/>
  <c r="O248" i="5"/>
  <c r="K210" i="5"/>
  <c r="K212" i="5"/>
  <c r="K248" i="5"/>
  <c r="M210" i="5"/>
  <c r="M212" i="5"/>
  <c r="M248" i="5"/>
  <c r="Q210" i="5"/>
  <c r="Q212" i="5"/>
  <c r="Q248" i="5"/>
  <c r="AH210" i="5"/>
  <c r="AH212" i="5"/>
  <c r="AH248" i="5"/>
  <c r="AJ210" i="5"/>
  <c r="AJ212" i="5"/>
  <c r="AJ248" i="5"/>
  <c r="I210" i="5"/>
  <c r="I212" i="5"/>
  <c r="I248" i="5"/>
  <c r="T210" i="5"/>
  <c r="T212" i="5"/>
  <c r="T248" i="5"/>
  <c r="AI210" i="5"/>
  <c r="AI212" i="5"/>
  <c r="AI248" i="5"/>
  <c r="AA210" i="5"/>
  <c r="AA212" i="5"/>
  <c r="AA248" i="5"/>
  <c r="AD210" i="5"/>
  <c r="AD212" i="5"/>
  <c r="AD248" i="5"/>
  <c r="AF210" i="5"/>
  <c r="AF212" i="5"/>
  <c r="AF248" i="5"/>
  <c r="N210" i="5"/>
  <c r="N212" i="5"/>
  <c r="N248" i="5"/>
  <c r="W210" i="5"/>
  <c r="W212" i="5"/>
  <c r="W248" i="5"/>
  <c r="AG210" i="5"/>
  <c r="AG212" i="5"/>
  <c r="AG248" i="5"/>
  <c r="V210" i="5"/>
  <c r="V212" i="5"/>
  <c r="V248" i="5"/>
  <c r="P210" i="5"/>
  <c r="P212" i="5"/>
  <c r="P248" i="5"/>
  <c r="J210" i="5"/>
  <c r="J212" i="5"/>
  <c r="J248" i="5"/>
  <c r="R210" i="5"/>
  <c r="R212" i="5"/>
  <c r="R248" i="5"/>
  <c r="AJ193" i="5"/>
  <c r="AJ215" i="5"/>
  <c r="AJ203" i="5"/>
  <c r="AJ219" i="5"/>
  <c r="Y214" i="5"/>
  <c r="AB214" i="5"/>
  <c r="T214" i="5"/>
  <c r="AJ214" i="5"/>
  <c r="O214" i="5"/>
  <c r="W214" i="5"/>
  <c r="AI218" i="5"/>
  <c r="AJ218" i="5"/>
  <c r="T218" i="5"/>
  <c r="U218" i="5"/>
  <c r="AD218" i="5"/>
  <c r="AG218" i="5"/>
  <c r="W218" i="5"/>
  <c r="AF218" i="5"/>
  <c r="K218" i="5"/>
  <c r="M218" i="5"/>
  <c r="J218" i="5"/>
  <c r="J220" i="5"/>
  <c r="P218" i="5"/>
  <c r="AI214" i="5"/>
  <c r="I214" i="5"/>
  <c r="P214" i="5"/>
  <c r="K214" i="5"/>
  <c r="M214" i="5"/>
  <c r="AE218" i="5"/>
  <c r="G218" i="5"/>
  <c r="I218" i="5"/>
  <c r="V218" i="5"/>
  <c r="AB218" i="5"/>
  <c r="AC218" i="5"/>
  <c r="N214" i="5"/>
  <c r="X214" i="5"/>
  <c r="X216" i="5"/>
  <c r="S214" i="5"/>
  <c r="Q214" i="5"/>
  <c r="Q216" i="5"/>
  <c r="AF214" i="5"/>
  <c r="F218" i="5"/>
  <c r="F250" i="5"/>
  <c r="O218" i="5"/>
  <c r="Z218" i="5"/>
  <c r="AA218" i="5"/>
  <c r="AH218" i="5"/>
  <c r="Q218" i="5"/>
  <c r="AA214" i="5"/>
  <c r="AA216" i="5"/>
  <c r="S218" i="5"/>
  <c r="S220" i="5"/>
  <c r="X218" i="5"/>
  <c r="Y218" i="5"/>
  <c r="N218" i="5"/>
  <c r="L218" i="5"/>
  <c r="R218" i="5"/>
  <c r="R220" i="5"/>
  <c r="J214" i="5"/>
  <c r="R214" i="5"/>
  <c r="R216" i="5"/>
  <c r="Z214" i="5"/>
  <c r="AC214" i="5"/>
  <c r="AC216" i="5"/>
  <c r="AD214" i="5"/>
  <c r="AD216" i="5"/>
  <c r="AG214" i="5"/>
  <c r="AH214" i="5"/>
  <c r="F214" i="5"/>
  <c r="F249" i="5"/>
  <c r="AE214" i="5"/>
  <c r="U214" i="5"/>
  <c r="U216" i="5"/>
  <c r="V214" i="5"/>
  <c r="L214" i="5"/>
  <c r="C249" i="5"/>
  <c r="D249" i="5"/>
  <c r="D250" i="5"/>
  <c r="C250" i="5"/>
  <c r="E249" i="5"/>
  <c r="AJ216" i="5"/>
  <c r="AJ249" i="5"/>
  <c r="AJ220" i="5"/>
  <c r="AJ250" i="5"/>
  <c r="AH220" i="5"/>
  <c r="AH250" i="5"/>
  <c r="V220" i="5"/>
  <c r="V250" i="5"/>
  <c r="W216" i="5"/>
  <c r="W249" i="5"/>
  <c r="T216" i="5"/>
  <c r="T249" i="5"/>
  <c r="V216" i="5"/>
  <c r="V249" i="5"/>
  <c r="AH216" i="5"/>
  <c r="AH249" i="5"/>
  <c r="Z216" i="5"/>
  <c r="Z249" i="5"/>
  <c r="L220" i="5"/>
  <c r="L250" i="5"/>
  <c r="AA220" i="5"/>
  <c r="AA250" i="5"/>
  <c r="AF216" i="5"/>
  <c r="AF249" i="5"/>
  <c r="N216" i="5"/>
  <c r="N249" i="5"/>
  <c r="I220" i="5"/>
  <c r="I250" i="5"/>
  <c r="M216" i="5"/>
  <c r="M249" i="5"/>
  <c r="AI216" i="5"/>
  <c r="AI249" i="5"/>
  <c r="K220" i="5"/>
  <c r="K250" i="5"/>
  <c r="AD220" i="5"/>
  <c r="AD250" i="5"/>
  <c r="AI220" i="5"/>
  <c r="AI250" i="5"/>
  <c r="O216" i="5"/>
  <c r="O249" i="5"/>
  <c r="AB216" i="5"/>
  <c r="AB249" i="5"/>
  <c r="L216" i="5"/>
  <c r="L249" i="5"/>
  <c r="AE220" i="5"/>
  <c r="AE250" i="5"/>
  <c r="M220" i="5"/>
  <c r="M250" i="5"/>
  <c r="AG220" i="5"/>
  <c r="AG250" i="5"/>
  <c r="AG216" i="5"/>
  <c r="AG249" i="5"/>
  <c r="N220" i="5"/>
  <c r="N250" i="5"/>
  <c r="Z220" i="5"/>
  <c r="Z250" i="5"/>
  <c r="AC220" i="5"/>
  <c r="AC250" i="5"/>
  <c r="K216" i="5"/>
  <c r="K249" i="5"/>
  <c r="P220" i="5"/>
  <c r="P250" i="5"/>
  <c r="AF220" i="5"/>
  <c r="AF250" i="5"/>
  <c r="U220" i="5"/>
  <c r="U250" i="5"/>
  <c r="G216" i="5"/>
  <c r="G249" i="5"/>
  <c r="Y216" i="5"/>
  <c r="Y249" i="5"/>
  <c r="X220" i="5"/>
  <c r="X250" i="5"/>
  <c r="I216" i="5"/>
  <c r="I249" i="5"/>
  <c r="AE216" i="5"/>
  <c r="AE249" i="5"/>
  <c r="J216" i="5"/>
  <c r="J249" i="5"/>
  <c r="Y220" i="5"/>
  <c r="Y250" i="5"/>
  <c r="Q220" i="5"/>
  <c r="Q250" i="5"/>
  <c r="O220" i="5"/>
  <c r="O250" i="5"/>
  <c r="S216" i="5"/>
  <c r="S249" i="5"/>
  <c r="AB220" i="5"/>
  <c r="AB250" i="5"/>
  <c r="G220" i="5"/>
  <c r="G250" i="5"/>
  <c r="P216" i="5"/>
  <c r="P249" i="5"/>
  <c r="W220" i="5"/>
  <c r="W250" i="5"/>
  <c r="T220" i="5"/>
  <c r="T250" i="5"/>
  <c r="D64" i="5"/>
  <c r="D66" i="5"/>
  <c r="F64" i="5"/>
  <c r="AD249" i="5"/>
  <c r="X249" i="5"/>
  <c r="D268" i="5"/>
  <c r="R250" i="5"/>
  <c r="AA249" i="5"/>
  <c r="U249" i="5"/>
  <c r="AC249" i="5"/>
  <c r="Q249" i="5"/>
  <c r="J250" i="5"/>
  <c r="E250" i="5"/>
  <c r="E268" i="5"/>
  <c r="C248" i="5"/>
  <c r="C64" i="5"/>
  <c r="C66" i="5"/>
  <c r="C67" i="5"/>
  <c r="R249" i="5"/>
  <c r="H64" i="5"/>
  <c r="I64" i="5"/>
  <c r="AE64" i="5"/>
  <c r="L64" i="5"/>
  <c r="K64" i="5"/>
  <c r="P64" i="5"/>
  <c r="AH64" i="5"/>
  <c r="AG64" i="5"/>
  <c r="V64" i="5"/>
  <c r="T64" i="5"/>
  <c r="AB64" i="5"/>
  <c r="N64" i="5"/>
  <c r="Z64" i="5"/>
  <c r="W64" i="5"/>
  <c r="Y64" i="5"/>
  <c r="O64" i="5"/>
  <c r="AI64" i="5"/>
  <c r="AF64" i="5"/>
  <c r="G64" i="5"/>
  <c r="M64" i="5"/>
  <c r="AC64" i="5"/>
  <c r="Q64" i="5"/>
  <c r="U64" i="5"/>
  <c r="X64" i="5"/>
  <c r="J64" i="5"/>
  <c r="AA64" i="5"/>
  <c r="AD64" i="5"/>
  <c r="AJ64" i="5"/>
  <c r="R64" i="5"/>
  <c r="E64" i="5"/>
  <c r="E66" i="5"/>
  <c r="D67" i="5"/>
  <c r="S250" i="5"/>
  <c r="S64" i="5"/>
  <c r="C268" i="5"/>
  <c r="E67" i="5"/>
  <c r="H236" i="5"/>
  <c r="I235" i="5"/>
  <c r="I236" i="5"/>
  <c r="J235" i="5"/>
  <c r="J236" i="5"/>
  <c r="K235" i="5"/>
  <c r="K236" i="5"/>
  <c r="L235" i="5"/>
  <c r="L236" i="5"/>
  <c r="M235" i="5"/>
  <c r="M236" i="5"/>
  <c r="N235" i="5"/>
  <c r="N236" i="5"/>
  <c r="O235" i="5"/>
  <c r="O236" i="5"/>
  <c r="AP241" i="5"/>
  <c r="AQ240" i="5"/>
  <c r="AQ260" i="5"/>
  <c r="AQ241" i="5"/>
  <c r="AR240" i="5"/>
  <c r="AR241" i="5"/>
  <c r="AS240" i="5"/>
  <c r="AR260" i="5"/>
  <c r="AS241" i="5"/>
  <c r="AT240" i="5"/>
  <c r="AS260" i="5"/>
  <c r="AT241" i="5"/>
  <c r="AU240" i="5"/>
  <c r="AT260" i="5"/>
  <c r="AU241" i="5"/>
  <c r="AV240" i="5"/>
  <c r="AU260" i="5"/>
  <c r="AV260" i="5"/>
  <c r="AV241" i="5"/>
  <c r="AW240" i="5"/>
  <c r="AW260" i="5"/>
  <c r="AW241" i="5"/>
  <c r="AL241" i="5"/>
  <c r="AM240" i="5"/>
  <c r="AK241" i="5"/>
  <c r="AL240" i="5"/>
  <c r="AL260" i="5"/>
  <c r="AM260" i="5"/>
  <c r="AM241" i="5"/>
  <c r="AN240" i="5"/>
  <c r="AN260" i="5"/>
  <c r="AN241" i="5"/>
  <c r="AO240" i="5"/>
  <c r="AO260" i="5"/>
  <c r="AO241" i="5"/>
  <c r="AP240" i="5"/>
  <c r="AP260" i="5"/>
  <c r="F240" i="5"/>
  <c r="F260" i="5"/>
  <c r="F262" i="5"/>
  <c r="G261" i="5"/>
  <c r="F263" i="5"/>
  <c r="G260" i="5"/>
  <c r="G262" i="5"/>
  <c r="G263" i="5"/>
  <c r="F265" i="5"/>
  <c r="F267" i="5"/>
  <c r="F63" i="5"/>
  <c r="F66" i="5"/>
  <c r="F67" i="5"/>
  <c r="H261" i="5"/>
  <c r="G63" i="5"/>
  <c r="G66" i="5"/>
  <c r="G67" i="5"/>
  <c r="G265" i="5"/>
  <c r="G267" i="5"/>
  <c r="H262" i="5"/>
  <c r="H263" i="5"/>
  <c r="H265" i="5"/>
  <c r="H267" i="5"/>
  <c r="H241" i="5"/>
  <c r="I240" i="5"/>
  <c r="H63" i="5"/>
  <c r="H66" i="5"/>
  <c r="H67" i="5"/>
  <c r="I261" i="5"/>
  <c r="I260" i="5"/>
  <c r="I241" i="5"/>
  <c r="I262" i="5"/>
  <c r="J240" i="5"/>
  <c r="J260" i="5"/>
  <c r="J241" i="5"/>
  <c r="I263" i="5"/>
  <c r="J261" i="5"/>
  <c r="J262" i="5"/>
  <c r="K261" i="5"/>
  <c r="I265" i="5"/>
  <c r="I267" i="5"/>
  <c r="I63" i="5"/>
  <c r="I66" i="5"/>
  <c r="I67" i="5"/>
  <c r="J263" i="5"/>
  <c r="J63" i="5"/>
  <c r="J66" i="5"/>
  <c r="J67" i="5"/>
  <c r="J265" i="5"/>
  <c r="J267" i="5"/>
  <c r="K241" i="5"/>
  <c r="K240" i="5"/>
  <c r="L240" i="5"/>
  <c r="L260" i="5"/>
  <c r="K260" i="5"/>
  <c r="K262" i="5"/>
  <c r="K263" i="5"/>
  <c r="K63" i="5"/>
  <c r="K66" i="5"/>
  <c r="K67" i="5"/>
  <c r="L241" i="5"/>
  <c r="M240" i="5"/>
  <c r="M260" i="5"/>
  <c r="K265" i="5"/>
  <c r="K267" i="5"/>
  <c r="L261" i="5"/>
  <c r="L262" i="5"/>
  <c r="L263" i="5"/>
  <c r="L265" i="5"/>
  <c r="L267" i="5"/>
  <c r="M241" i="5"/>
  <c r="N240" i="5"/>
  <c r="N241" i="5"/>
  <c r="O240" i="5"/>
  <c r="O260" i="5"/>
  <c r="L63" i="5"/>
  <c r="L66" i="5"/>
  <c r="L67" i="5"/>
  <c r="M261" i="5"/>
  <c r="M262" i="5"/>
  <c r="M263" i="5"/>
  <c r="M63" i="5"/>
  <c r="M66" i="5"/>
  <c r="O241" i="5"/>
  <c r="N260" i="5"/>
  <c r="M67" i="5"/>
  <c r="M265" i="5"/>
  <c r="M267" i="5"/>
  <c r="N261" i="5"/>
  <c r="N262" i="5"/>
  <c r="O261" i="5"/>
  <c r="O262" i="5"/>
  <c r="O263" i="5"/>
  <c r="O265" i="5"/>
  <c r="O267" i="5"/>
  <c r="N263" i="5"/>
  <c r="N265" i="5"/>
  <c r="N267" i="5"/>
  <c r="O63" i="5"/>
  <c r="O66" i="5"/>
  <c r="P261" i="5"/>
  <c r="N63" i="5"/>
  <c r="N66" i="5"/>
  <c r="N67" i="5"/>
  <c r="O67" i="5"/>
  <c r="P240" i="5"/>
  <c r="P241" i="5"/>
  <c r="Q240" i="5"/>
  <c r="Q241" i="5"/>
  <c r="R240" i="5"/>
  <c r="R241" i="5"/>
  <c r="S240" i="5"/>
  <c r="S241" i="5"/>
  <c r="T240" i="5"/>
  <c r="T260" i="5"/>
  <c r="P260" i="5"/>
  <c r="P262" i="5"/>
  <c r="P263" i="5"/>
  <c r="P63" i="5"/>
  <c r="P66" i="5"/>
  <c r="P67" i="5"/>
  <c r="Q260" i="5"/>
  <c r="T241" i="5"/>
  <c r="R260" i="5"/>
  <c r="Q261" i="5"/>
  <c r="S260" i="5"/>
  <c r="P265" i="5"/>
  <c r="P267" i="5"/>
  <c r="Q262" i="5"/>
  <c r="R261" i="5"/>
  <c r="R262" i="5"/>
  <c r="S261" i="5"/>
  <c r="S262" i="5"/>
  <c r="S263" i="5"/>
  <c r="S63" i="5"/>
  <c r="S66" i="5"/>
  <c r="Q263" i="5"/>
  <c r="Q265" i="5"/>
  <c r="Q267" i="5"/>
  <c r="T261" i="5"/>
  <c r="T262" i="5"/>
  <c r="U261" i="5"/>
  <c r="S265" i="5"/>
  <c r="S267" i="5"/>
  <c r="R263" i="5"/>
  <c r="R63" i="5"/>
  <c r="R66" i="5"/>
  <c r="Q63" i="5"/>
  <c r="Q66" i="5"/>
  <c r="Q67" i="5"/>
  <c r="T263" i="5"/>
  <c r="T265" i="5"/>
  <c r="T267" i="5"/>
  <c r="R67" i="5"/>
  <c r="S67" i="5"/>
  <c r="R265" i="5"/>
  <c r="R267" i="5"/>
  <c r="T63" i="5"/>
  <c r="T66" i="5"/>
  <c r="T67" i="5"/>
  <c r="U240" i="5"/>
  <c r="U241" i="5"/>
  <c r="V240" i="5"/>
  <c r="V260" i="5"/>
  <c r="U260" i="5"/>
  <c r="U262" i="5"/>
  <c r="V261" i="5"/>
  <c r="V262" i="5"/>
  <c r="V263" i="5"/>
  <c r="V265" i="5"/>
  <c r="V267" i="5"/>
  <c r="V241" i="5"/>
  <c r="W240" i="5"/>
  <c r="W241" i="5"/>
  <c r="X240" i="5"/>
  <c r="X241" i="5"/>
  <c r="Y240" i="5"/>
  <c r="Y241" i="5"/>
  <c r="U263" i="5"/>
  <c r="U63" i="5"/>
  <c r="U66" i="5"/>
  <c r="U67" i="5"/>
  <c r="W260" i="5"/>
  <c r="V63" i="5"/>
  <c r="V66" i="5"/>
  <c r="Y260" i="5"/>
  <c r="X260" i="5"/>
  <c r="W261" i="5"/>
  <c r="U265" i="5"/>
  <c r="U267" i="5"/>
  <c r="V67" i="5"/>
  <c r="W262" i="5"/>
  <c r="X261" i="5"/>
  <c r="X262" i="5"/>
  <c r="X263" i="5"/>
  <c r="W263" i="5"/>
  <c r="W265" i="5"/>
  <c r="W267" i="5"/>
  <c r="X265" i="5"/>
  <c r="X267" i="5"/>
  <c r="X63" i="5"/>
  <c r="X66" i="5"/>
  <c r="Y261" i="5"/>
  <c r="Y262" i="5"/>
  <c r="Y263" i="5"/>
  <c r="Y265" i="5"/>
  <c r="Y267" i="5"/>
  <c r="W63" i="5"/>
  <c r="W66" i="5"/>
  <c r="W67" i="5"/>
  <c r="X67" i="5"/>
  <c r="Z261" i="5"/>
  <c r="Y63" i="5"/>
  <c r="Y66" i="5"/>
  <c r="Z241" i="5"/>
  <c r="Z240" i="5"/>
  <c r="Y67" i="5"/>
  <c r="AA240" i="5"/>
  <c r="AA260" i="5"/>
  <c r="Z260" i="5"/>
  <c r="Z262" i="5"/>
  <c r="AA261" i="5"/>
  <c r="AA241" i="5"/>
  <c r="AB240" i="5"/>
  <c r="AB260" i="5"/>
  <c r="Z263" i="5"/>
  <c r="Z63" i="5"/>
  <c r="Z66" i="5"/>
  <c r="Z67" i="5"/>
  <c r="AB241" i="5"/>
  <c r="AC240" i="5"/>
  <c r="AC241" i="5"/>
  <c r="AD240" i="5"/>
  <c r="AD260" i="5"/>
  <c r="AA262" i="5"/>
  <c r="AB261" i="5"/>
  <c r="AB262" i="5"/>
  <c r="AC261" i="5"/>
  <c r="Z265" i="5"/>
  <c r="Z267" i="5"/>
  <c r="AD241" i="5"/>
  <c r="AE240" i="5"/>
  <c r="AC260" i="5"/>
  <c r="AC262" i="5"/>
  <c r="AC263" i="5"/>
  <c r="AC265" i="5"/>
  <c r="AC267" i="5"/>
  <c r="AA263" i="5"/>
  <c r="AB263" i="5"/>
  <c r="AB265" i="5"/>
  <c r="AB267" i="5"/>
  <c r="AE260" i="5"/>
  <c r="AE241" i="5"/>
  <c r="AF240" i="5"/>
  <c r="AA265" i="5"/>
  <c r="AA267" i="5"/>
  <c r="AA63" i="5"/>
  <c r="AA66" i="5"/>
  <c r="AA67" i="5"/>
  <c r="AB63" i="5"/>
  <c r="AB66" i="5"/>
  <c r="AC63" i="5"/>
  <c r="AC66" i="5"/>
  <c r="AD261" i="5"/>
  <c r="AD262" i="5"/>
  <c r="AE261" i="5"/>
  <c r="AE262" i="5"/>
  <c r="AE263" i="5"/>
  <c r="AE265" i="5"/>
  <c r="AE267" i="5"/>
  <c r="AF260" i="5"/>
  <c r="AF241" i="5"/>
  <c r="AG240" i="5"/>
  <c r="AB67" i="5"/>
  <c r="AC67" i="5"/>
  <c r="AD263" i="5"/>
  <c r="AD63" i="5"/>
  <c r="AD66" i="5"/>
  <c r="AD67" i="5"/>
  <c r="AG241" i="5"/>
  <c r="AH240" i="5"/>
  <c r="AG260" i="5"/>
  <c r="AF261" i="5"/>
  <c r="AF262" i="5"/>
  <c r="AF263" i="5"/>
  <c r="AF63" i="5"/>
  <c r="AF66" i="5"/>
  <c r="AE63" i="5"/>
  <c r="AE66" i="5"/>
  <c r="AD265" i="5"/>
  <c r="AD267" i="5"/>
  <c r="AH260" i="5"/>
  <c r="AH241" i="5"/>
  <c r="AI240" i="5"/>
  <c r="AG261" i="5"/>
  <c r="AG262" i="5"/>
  <c r="AG263" i="5"/>
  <c r="AG265" i="5"/>
  <c r="AG267" i="5"/>
  <c r="AF265" i="5"/>
  <c r="AF267" i="5"/>
  <c r="AE67" i="5"/>
  <c r="AF67" i="5"/>
  <c r="AI260" i="5"/>
  <c r="AI241" i="5"/>
  <c r="AJ240" i="5"/>
  <c r="AH261" i="5"/>
  <c r="AH262" i="5"/>
  <c r="AI261" i="5"/>
  <c r="AG63" i="5"/>
  <c r="AG66" i="5"/>
  <c r="AG67" i="5"/>
  <c r="AI262" i="5"/>
  <c r="AJ261" i="5"/>
  <c r="AJ241" i="5"/>
  <c r="AK240" i="5"/>
  <c r="AK260" i="5"/>
  <c r="AJ260" i="5"/>
  <c r="AH263" i="5"/>
  <c r="AH265" i="5"/>
  <c r="AH267" i="5"/>
  <c r="AI263" i="5"/>
  <c r="AI63" i="5"/>
  <c r="AI66" i="5"/>
  <c r="AJ262" i="5"/>
  <c r="AH63" i="5"/>
  <c r="AH66" i="5"/>
  <c r="AH67" i="5"/>
  <c r="AI265" i="5"/>
  <c r="AI267" i="5"/>
  <c r="AI67" i="5"/>
  <c r="AK261" i="5"/>
  <c r="AK262" i="5"/>
  <c r="AK263" i="5"/>
  <c r="AK265" i="5"/>
  <c r="AK267" i="5"/>
  <c r="AJ263" i="5"/>
  <c r="AL261" i="5"/>
  <c r="AL262" i="5"/>
  <c r="AM261" i="5"/>
  <c r="AM262" i="5"/>
  <c r="AJ265" i="5"/>
  <c r="AJ267" i="5"/>
  <c r="AJ63" i="5"/>
  <c r="AJ66" i="5"/>
  <c r="AJ67" i="5"/>
  <c r="AL263" i="5"/>
  <c r="AL265" i="5"/>
  <c r="AL267" i="5"/>
  <c r="AM263" i="5"/>
  <c r="AM265" i="5"/>
  <c r="AM267" i="5"/>
  <c r="AN261" i="5"/>
  <c r="AN262" i="5"/>
  <c r="AN263" i="5"/>
  <c r="AN265" i="5"/>
  <c r="AN267" i="5"/>
  <c r="AO261" i="5"/>
  <c r="AO262" i="5"/>
  <c r="AP261" i="5"/>
  <c r="AP262" i="5"/>
  <c r="AO263" i="5"/>
  <c r="AO265" i="5"/>
  <c r="AO267" i="5"/>
  <c r="AQ261" i="5"/>
  <c r="AQ262" i="5"/>
  <c r="AP263" i="5"/>
  <c r="AP265" i="5"/>
  <c r="AP267" i="5"/>
  <c r="AQ263" i="5"/>
  <c r="AQ265" i="5"/>
  <c r="AQ267" i="5"/>
  <c r="AR261" i="5"/>
  <c r="AR262" i="5"/>
  <c r="AS261" i="5"/>
  <c r="AS262" i="5"/>
  <c r="AR263" i="5"/>
  <c r="AR265" i="5"/>
  <c r="AR267" i="5"/>
  <c r="AS263" i="5"/>
  <c r="AS265" i="5"/>
  <c r="AS267" i="5"/>
  <c r="AT261" i="5"/>
  <c r="AT262" i="5"/>
  <c r="AT263" i="5"/>
  <c r="AT265" i="5"/>
  <c r="AT267" i="5"/>
  <c r="AU261" i="5"/>
  <c r="AU262" i="5"/>
  <c r="AV261" i="5"/>
  <c r="AV262" i="5"/>
  <c r="AU263" i="5"/>
  <c r="AU265" i="5"/>
  <c r="AU267" i="5"/>
  <c r="AV263" i="5"/>
  <c r="AV265" i="5"/>
  <c r="AV267" i="5"/>
  <c r="AW261" i="5"/>
  <c r="AW262" i="5"/>
  <c r="AW263" i="5"/>
  <c r="AW265" i="5"/>
  <c r="AW267" i="5"/>
  <c r="C270" i="5"/>
</calcChain>
</file>

<file path=xl/sharedStrings.xml><?xml version="1.0" encoding="utf-8"?>
<sst xmlns="http://schemas.openxmlformats.org/spreadsheetml/2006/main" count="891" uniqueCount="421">
  <si>
    <t>Year</t>
  </si>
  <si>
    <t>Discount Rate</t>
  </si>
  <si>
    <r>
      <t>Social Cost of Carbon (2020 US Dollars per metric ton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</si>
  <si>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Social Cost of Methane (2020 US Dollars per metric ton 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</si>
  <si>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r>
      <t>Social Cost of Nitrous Oxide (2020 US Dollars per metric ton 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O)</t>
    </r>
  </si>
  <si>
    <t>CO2</t>
  </si>
  <si>
    <t>CH4</t>
  </si>
  <si>
    <t>N2O</t>
  </si>
  <si>
    <t>Social Cost of Greenhouse Gases in 2020 US Dollars</t>
  </si>
  <si>
    <t>Operation</t>
  </si>
  <si>
    <t>-</t>
  </si>
  <si>
    <t>Debt financing portion</t>
  </si>
  <si>
    <t>Debt interest rate</t>
  </si>
  <si>
    <t>Income tax rate</t>
  </si>
  <si>
    <t>Working capital</t>
  </si>
  <si>
    <t>Product sales</t>
  </si>
  <si>
    <t>Op-x</t>
  </si>
  <si>
    <t>Net revenue</t>
  </si>
  <si>
    <t>Losses forward</t>
  </si>
  <si>
    <t>Taxable income</t>
  </si>
  <si>
    <t>Income tax</t>
  </si>
  <si>
    <t>Annual cash income</t>
  </si>
  <si>
    <t>Discount factor</t>
  </si>
  <si>
    <t>Annual present value</t>
  </si>
  <si>
    <t>Loan Term (years)</t>
  </si>
  <si>
    <t>Equity spent in year -2</t>
  </si>
  <si>
    <t>Equity spent in year -1</t>
  </si>
  <si>
    <t>Equity spent in year 0</t>
  </si>
  <si>
    <t>Cost of CO2 Emissions</t>
  </si>
  <si>
    <t>Cost of CH4 Emissions</t>
  </si>
  <si>
    <t>Cost of N2O Emissions</t>
  </si>
  <si>
    <t>Capacity Factor</t>
  </si>
  <si>
    <t>Construction</t>
  </si>
  <si>
    <t>Greenhouse Gas</t>
  </si>
  <si>
    <t>kg/MWh</t>
  </si>
  <si>
    <t>MWe</t>
  </si>
  <si>
    <t>kWh/kWh</t>
  </si>
  <si>
    <t>MMBtu/day</t>
  </si>
  <si>
    <t>Variable O+M ($/kWh)</t>
  </si>
  <si>
    <t>Fixed O+M ($/kW-yr)</t>
  </si>
  <si>
    <t>Annual loan payment ($/yr)</t>
  </si>
  <si>
    <t>Rate of return on equity</t>
  </si>
  <si>
    <t>Equity spent in year -3</t>
  </si>
  <si>
    <t>Equity spent in year -4</t>
  </si>
  <si>
    <t>Equity spent in year -5</t>
  </si>
  <si>
    <t>Capital cost ($/kW)</t>
  </si>
  <si>
    <t>MACRs Depreciation (years)</t>
  </si>
  <si>
    <t>Construction Duration (years)</t>
  </si>
  <si>
    <t>CCS Addition</t>
  </si>
  <si>
    <t>Biogas</t>
  </si>
  <si>
    <t>Biogas CCS</t>
  </si>
  <si>
    <t>Normal</t>
  </si>
  <si>
    <t>Fixed capital investment #2</t>
  </si>
  <si>
    <t>Loan payment #2</t>
  </si>
  <si>
    <t>Loan interest payment #2</t>
  </si>
  <si>
    <t>Loan principal #2</t>
  </si>
  <si>
    <t>Loan principal #1</t>
  </si>
  <si>
    <t>Fixed capital investment #1</t>
  </si>
  <si>
    <t>Loan payment #1</t>
  </si>
  <si>
    <t>Loan interest payment #1</t>
  </si>
  <si>
    <t>Depreciation charge #2</t>
  </si>
  <si>
    <t>Depreciation charge #1</t>
  </si>
  <si>
    <t>Remaining value #1</t>
  </si>
  <si>
    <t>Remaining value #2</t>
  </si>
  <si>
    <t>CCS Depreciation Start</t>
  </si>
  <si>
    <t>15 year MACRS</t>
  </si>
  <si>
    <t>Shutdown</t>
  </si>
  <si>
    <t>Electricity Price</t>
  </si>
  <si>
    <t>CCS Addition Depreciation Schedule</t>
  </si>
  <si>
    <t>Normal CCS</t>
  </si>
  <si>
    <t>Revenue and Operating Costs</t>
  </si>
  <si>
    <t>Decpreciation Schedule #2 - Addition of CCS</t>
  </si>
  <si>
    <t xml:space="preserve">Annual depreciation #2 </t>
  </si>
  <si>
    <t xml:space="preserve">Annual depreciation #1 </t>
  </si>
  <si>
    <t>Depreciation Schedule #1 - Initial Plant Construction</t>
  </si>
  <si>
    <t>Capital investment and loan #1 - Initial Plant Construction</t>
  </si>
  <si>
    <t>Capital investment and loan #2 - Addition of CCS</t>
  </si>
  <si>
    <t>Varying Annual Operational Costs and Revenue Calculations</t>
  </si>
  <si>
    <t>Ignore Costs Before Decision?</t>
  </si>
  <si>
    <t>No</t>
  </si>
  <si>
    <t>Emissions Cost Calculations</t>
  </si>
  <si>
    <t>Normal - Operation</t>
  </si>
  <si>
    <t>Normal CCS - Operation</t>
  </si>
  <si>
    <t>Shutdown - Operation</t>
  </si>
  <si>
    <t>Biogas - Operation</t>
  </si>
  <si>
    <t>Biogas CCS - Operation</t>
  </si>
  <si>
    <t>Emissions Cost ($/tonne CO2)</t>
  </si>
  <si>
    <t>Emissions Cost ($/year)</t>
  </si>
  <si>
    <t>Total Emissions (tonnes CO2/year)</t>
  </si>
  <si>
    <t>Emissions Cost ($/tonne CH4)</t>
  </si>
  <si>
    <t>Total Emissions (tonnes CH4/year)</t>
  </si>
  <si>
    <t>CH4 Emissions (tonnes CH4)</t>
  </si>
  <si>
    <t>N2O Emissions (tonnes N2O)</t>
  </si>
  <si>
    <t>Total Emissions (tonnes N2O/year)</t>
  </si>
  <si>
    <t>Emissions Cost ($/tonne N2O)</t>
  </si>
  <si>
    <t>Emissions Cost ($/N2O)</t>
  </si>
  <si>
    <t>Emissions Penalty</t>
  </si>
  <si>
    <t>Year CCS Investment Depreciation Starts</t>
  </si>
  <si>
    <t>Costs</t>
  </si>
  <si>
    <t>Revenue</t>
  </si>
  <si>
    <t>Net Result</t>
  </si>
  <si>
    <t>Net Present Value</t>
  </si>
  <si>
    <t>GHG Costs</t>
  </si>
  <si>
    <t>$/mmBTU</t>
  </si>
  <si>
    <t>Analysis Results</t>
  </si>
  <si>
    <t>NPV</t>
  </si>
  <si>
    <t>Full Cash Flow</t>
  </si>
  <si>
    <t>Taxes</t>
  </si>
  <si>
    <t>Discounting</t>
  </si>
  <si>
    <t>Pathway</t>
  </si>
  <si>
    <t>Input</t>
  </si>
  <si>
    <t>Operation and Economic Inputs</t>
  </si>
  <si>
    <t>Economic</t>
  </si>
  <si>
    <t>Unit</t>
  </si>
  <si>
    <t>cents/kWh</t>
  </si>
  <si>
    <t>Baseline Biogas Cost ($/mmBTU)</t>
  </si>
  <si>
    <t>Type</t>
  </si>
  <si>
    <t>$/tonne-CO2eq</t>
  </si>
  <si>
    <t>Natural Gas Cost</t>
  </si>
  <si>
    <t>Biogas Cost</t>
  </si>
  <si>
    <t>Greenhouse Gas Emissions Cost</t>
  </si>
  <si>
    <t>Net Present Value in 2050 (2020 US Dollars)</t>
  </si>
  <si>
    <t>Analysis Inputs</t>
  </si>
  <si>
    <t>Methane (g-CH4/g-CO2eq)</t>
  </si>
  <si>
    <t>Dinitrogen Monoxide (g-N2O/g-CO2eq</t>
  </si>
  <si>
    <t>Global Warming Potential</t>
  </si>
  <si>
    <t>Give economic credit for sequestration?</t>
  </si>
  <si>
    <t>Upstream Natural Gas Production</t>
  </si>
  <si>
    <t>NG and NG CCS Power Plant</t>
  </si>
  <si>
    <t>U.S. Domestic On-Shore Pipeline [1] (pg 29, Table 2-4)</t>
  </si>
  <si>
    <t>U.S. Domestic On-Shore Natural Gas Well [1] (pg 27, Table 2-2)</t>
  </si>
  <si>
    <t>Fugitive Emissions  [2]</t>
  </si>
  <si>
    <t>See Fugitive Emissions</t>
  </si>
  <si>
    <t>Natural Gas Power Plant</t>
  </si>
  <si>
    <t>Natural Gas Power Plant without CCS</t>
  </si>
  <si>
    <t>Operation*</t>
  </si>
  <si>
    <t>Sources</t>
  </si>
  <si>
    <t>Energy Conversion Facility without CCS [1](page 47,Table 2-17)</t>
  </si>
  <si>
    <t>Feedrate [1] (pg 44, Table 2-15)</t>
  </si>
  <si>
    <t>LCA Data Operational Conditions</t>
  </si>
  <si>
    <t>(kg/kg-NG)</t>
  </si>
  <si>
    <t>Total Natural Gas Power Plant without CCS</t>
  </si>
  <si>
    <t>Electricity Net [1] (pg 43, Table 2-14)</t>
  </si>
  <si>
    <t>Capacity Factor [1] (pg 43, Table 2-14)</t>
  </si>
  <si>
    <t>Total Natural Gas Power Plant with CCS</t>
  </si>
  <si>
    <t>Commissioning/Decomissioning</t>
  </si>
  <si>
    <t>Commissioning*</t>
  </si>
  <si>
    <t>Decommissioning*</t>
  </si>
  <si>
    <t>*Commissioning/Decommissioning emissions split evenly across beginning and end of life</t>
  </si>
  <si>
    <t>Total Upstream Natural Gas Production</t>
  </si>
  <si>
    <t>Total: Natural Gas Power Plant with CCS [1] (pg 58, Table 2-23)</t>
  </si>
  <si>
    <t>Electricity Net [1] (pg 53, Table 2-20)</t>
  </si>
  <si>
    <t>Capacity Factor [1] (pg 53, Table 2-20)</t>
  </si>
  <si>
    <t>Feedrate [1] (pg 53, Table 2-21)</t>
  </si>
  <si>
    <t>Natural Gas Power Plant with CCS</t>
  </si>
  <si>
    <t>tonne/kW</t>
  </si>
  <si>
    <t>Average Inflation Rate</t>
  </si>
  <si>
    <t>Distribute evenly</t>
  </si>
  <si>
    <t>tonne/kWh</t>
  </si>
  <si>
    <t>Energy per Volume (BTU/cubic foot of fuel)</t>
  </si>
  <si>
    <t>Biogas Production and Upgrading</t>
  </si>
  <si>
    <t>Greenhouse Gas Emissions [3] (Figure 8)</t>
  </si>
  <si>
    <t>Energy per Mass (mmBTU/kg of fuel)</t>
  </si>
  <si>
    <t>(tonne/kg-NG)</t>
  </si>
  <si>
    <t>Normal - Construction (tonne/kW)</t>
  </si>
  <si>
    <t>Normal - Commission/Decommission (tonne/kW)</t>
  </si>
  <si>
    <t>CCS Addition - Construction (tonne/kW)</t>
  </si>
  <si>
    <t>CCS Addition - Commission/Decommission (tonne/kW)</t>
  </si>
  <si>
    <t>Normal - Well/Pipeline Operation (tonne/kWh)</t>
  </si>
  <si>
    <t>Normal - Operation  (tonne/kWh)</t>
  </si>
  <si>
    <t>Normal CCS - Operation  (tonne/kWh)</t>
  </si>
  <si>
    <t>Shutdown - Operation  (tonne/kWh)</t>
  </si>
  <si>
    <t>Biogas - Operation  (tonne/kWh)</t>
  </si>
  <si>
    <t>Biogas CCS - Operation  (tonne/kWh)</t>
  </si>
  <si>
    <t>tonnes-CO2/kg-bioNG</t>
  </si>
  <si>
    <t>Installation</t>
  </si>
  <si>
    <t>Normal - Well/Pipeline Const/Install/Deinstall (tonne/kWh)*</t>
  </si>
  <si>
    <t>Installation/Deinstallation</t>
  </si>
  <si>
    <t>Shutdown -Decommission</t>
  </si>
  <si>
    <t>* Fugitive methane emissions replaced with revised estimate from Alvarez et al.</t>
  </si>
  <si>
    <t>* True well and pipeline construction, installation, and deinstallation times are unknown. Therefore, emissions are distributed evenly over the lifetime of the power plant to mimic ongoing start-up and shutdown of wells across a large natural gas network.</t>
  </si>
  <si>
    <t>Biogas - Upstream Fuel (tonne/kWh)**</t>
  </si>
  <si>
    <t>gC02eq/MJ*</t>
  </si>
  <si>
    <t>**Biogas emissions reported in CO2eq. No data avialable for individual CH4 and N2O contributions. As a result, biogas production emissions are considered as CO2 for analysis.</t>
  </si>
  <si>
    <t>*Biogas emissions reported in CO2eq. No data avialable for individual CH4 and N2O contributions. As a result, biogas production emissions are considered as CO2 for analysis.</t>
  </si>
  <si>
    <t>Distribution of Construction Emissions Over First Three Years*</t>
  </si>
  <si>
    <t>*True emissions timing dependent upon actual construction which is unknown.</t>
  </si>
  <si>
    <t>BTU/MJ</t>
  </si>
  <si>
    <t>Global Warming Potential for CO2eq in Carbon Tax</t>
  </si>
  <si>
    <t>Emissions Distribution</t>
  </si>
  <si>
    <t>Normal - Construction/Commission/Decommission</t>
  </si>
  <si>
    <t>CCS Addition - Construction/Commission/Decommission</t>
  </si>
  <si>
    <t>Shutdown - Decommission</t>
  </si>
  <si>
    <t>Emissions Totals</t>
  </si>
  <si>
    <t>CH4 (tonnes/year)</t>
  </si>
  <si>
    <t>CO2 Emissions (tonnes/year)</t>
  </si>
  <si>
    <t>N2O (tonnes/year)</t>
  </si>
  <si>
    <t>CO2 Costs ($/year)</t>
  </si>
  <si>
    <t>Yes</t>
  </si>
  <si>
    <t>Total capital investment + interest + initial ghg costs</t>
  </si>
  <si>
    <t>LCOE</t>
  </si>
  <si>
    <t>Custom</t>
  </si>
  <si>
    <t>Result</t>
  </si>
  <si>
    <t>Varible</t>
  </si>
  <si>
    <t>OR</t>
  </si>
  <si>
    <t>------&gt;</t>
  </si>
  <si>
    <t>Flat Projection 2017-2050</t>
  </si>
  <si>
    <t>Custom Projection</t>
  </si>
  <si>
    <t>Year of Decision</t>
  </si>
  <si>
    <t>Solves for the levelized cost of electricity that will allow NPV=0</t>
  </si>
  <si>
    <t>Solves for the biogas cost that gives the biogas pathway the highest NPV</t>
  </si>
  <si>
    <t>Solves for the CCS capital cost that gives the biogas CCS pathway the highest NPV</t>
  </si>
  <si>
    <t>Solves for the CCS capital cost that gives the normal CCS pathway the highest NPV</t>
  </si>
  <si>
    <t>Solves for the net present value of the defined pathway and scneario</t>
  </si>
  <si>
    <t>No change to natural gas power plant</t>
  </si>
  <si>
    <t>Add CCS to the natural gas power plant</t>
  </si>
  <si>
    <t>Shutdown the natural gas power plant</t>
  </si>
  <si>
    <t>Switch fuel source from natural gas to biogas</t>
  </si>
  <si>
    <t>Switch fuel source from natural gas to biogas and simultaneously add CCS</t>
  </si>
  <si>
    <t>Year in which the pathway will be implemented</t>
  </si>
  <si>
    <t>Zero all costs before the year of decision, only assess value of remaining years</t>
  </si>
  <si>
    <t>Account for all costs over full lifetime of the plant</t>
  </si>
  <si>
    <t>Apply a negative cost (renvenue) to sequestered emissions in the biogas CCS pathway</t>
  </si>
  <si>
    <t>Do not apply any cost to sequestered emissions</t>
  </si>
  <si>
    <t>EIA $15</t>
  </si>
  <si>
    <t>EIA $25</t>
  </si>
  <si>
    <t>EIA $35</t>
  </si>
  <si>
    <t>None</t>
  </si>
  <si>
    <t>Apply the Interagency Working Group social costs of greenhouse gases (CO2, CH4, N2O) that have been discounted to present value at 5%</t>
  </si>
  <si>
    <t>Apply the Interagency Working Group social costs of greenhouse gases (CO2, CH4, N2O) that have been discounted to present value at 3%</t>
  </si>
  <si>
    <t>Apply the Interagency Working Group social costs of greenhouse gases (CO2, CH4, N2O) that have been discounted to present value at 2.5%</t>
  </si>
  <si>
    <t>Apply the EIA CO2 eq emissions fee, starts at $15 in 2020 and rises by 5% each year</t>
  </si>
  <si>
    <t>Apply the EIA CO2 eq emissions fee, starts at $25 in 2020 and rises by 5% each year</t>
  </si>
  <si>
    <t>Apply the EIA CO2 eq emissions fee, starts at $35 in 2020 and rises by 5% each year</t>
  </si>
  <si>
    <t>Flat</t>
  </si>
  <si>
    <t>Input and use a flat projection for electricity prices</t>
  </si>
  <si>
    <t>Input and use a custom projection for electricity prices</t>
  </si>
  <si>
    <t>EIA Reference Case</t>
  </si>
  <si>
    <t>Use declining capacity factor (56% in 2020 - 32% in 2050) defined in the reference case of the EIA's 2020 AEO</t>
  </si>
  <si>
    <t>Input and use a flat projection for capacity factor</t>
  </si>
  <si>
    <t>Input and use a custom projection for capacity factor</t>
  </si>
  <si>
    <t>Input and use a flat projection for natural gas prices</t>
  </si>
  <si>
    <t>Input and use a custom projection for natural gas prices</t>
  </si>
  <si>
    <t>Use delieverd natural gas prices for electric power from the reference case of the EIA's 2020 AEO (Table 13)</t>
  </si>
  <si>
    <t>Use delieverd natural gas prices for electric power from the $15 carbon allowance fee case of the EIA's 2020 AEO (Table 13)</t>
  </si>
  <si>
    <t>Use delieverd natural gas prices for electric power from the $25 carbon allowance fee case of the EIA's 2020 AEO (Table 13)</t>
  </si>
  <si>
    <t>Use delieverd natural gas prices for electric power from the $35 carbon allowance fee case of the EIA's 2020 AEO (Table 13)</t>
  </si>
  <si>
    <t>Input and use a flat projection for biogas cost</t>
  </si>
  <si>
    <t>Input and use a custom projection for biogas cost</t>
  </si>
  <si>
    <r>
      <t>Social Cost of Carbon (2007 US Dollars per metric ton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[1]</t>
    </r>
  </si>
  <si>
    <r>
      <t>Social Cost of Methane (2007 US Dollars per metric ton 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 [2]</t>
    </r>
  </si>
  <si>
    <r>
      <t>Social Cost of Nitrous Oxide (2007 US Dollars per metric ton 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O) [2]</t>
    </r>
  </si>
  <si>
    <t xml:space="preserve">[2] Addendum to Technical Support Document on Social Cost of Carbon for Regulatory Impact Analysis under Executive Order 12866: Application of the Methodology to Estimate the Social Cost of Methane and the Social Cost of Nitrous Oxide. (2016).
</t>
  </si>
  <si>
    <t xml:space="preserve">[1] Technical Support Document:- Technical Update of the Social Cost of Carbon for Regulatory Impact Analysis - Under Executive Order 12866. (2016).
</t>
  </si>
  <si>
    <t xml:space="preserve">[3] Collet, P. et al. Techno-economic and Life Cycle Assessment of methane production via biogas upgrading and power to gas technology. Applied Energy 192, 282–295 (2017).
</t>
  </si>
  <si>
    <t xml:space="preserve">[2]Alvarez, R. A. et al. Assessment of methane emissions from the U.S. oil and gas supply chain. Science (2018) doi:10.1126/science.aar7204.
</t>
  </si>
  <si>
    <t xml:space="preserve">[1 ]Skone, T. &amp; James, R. Life Cycle Analysis: Natural Gas Combined Cycle (NGCC) Power Plant. 151 (2010).
</t>
  </si>
  <si>
    <t>CO2 Emissions Costs ($/tonne CO2)</t>
  </si>
  <si>
    <t>CH4 Emissions Costs ($/tonne CH4)</t>
  </si>
  <si>
    <t>CO2eq Emissions Costs ($/tonne CO2eq)</t>
  </si>
  <si>
    <t>Social Cost 5%</t>
  </si>
  <si>
    <t>Social Cost 3%</t>
  </si>
  <si>
    <t>Social Cost 2.5%</t>
  </si>
  <si>
    <t>Electricity Price (cents/kWh)</t>
  </si>
  <si>
    <t>Use electricity prices by service category: generation in $15 carbon allowance fee case of the EIA's 2020 AEO (Table 8)</t>
  </si>
  <si>
    <t>Use electricity prices by service category: generation in $25 carbon allowance fee case of the EIA's 2020 AEO (Table 8)</t>
  </si>
  <si>
    <t>Use electricity prices by service category: generation in $35 carbon allowance fee case of the EIA's 2020 AEO (Table 8)</t>
  </si>
  <si>
    <t>Use electricity prices by service category: generation in reference case of the EIA's 2020 AEO (Table 8)</t>
  </si>
  <si>
    <t>Input and apply a flat projection for CO2eq emissions costs</t>
  </si>
  <si>
    <t>Input and apply a custom projection for CO2eq emissions costs</t>
  </si>
  <si>
    <t>Do not apply any greenhouse gas costs</t>
  </si>
  <si>
    <t>Natural Costs ($/mmBTU)</t>
  </si>
  <si>
    <t>Biogas Costs ($/mmBTU)</t>
  </si>
  <si>
    <t>Production (kWh/year)</t>
  </si>
  <si>
    <t>Annual Revenue ($/year)</t>
  </si>
  <si>
    <t>Annual Operating Costs ($/year)</t>
  </si>
  <si>
    <t>Resulting Revenue of Decision</t>
  </si>
  <si>
    <t>Resulting Operating Costs of Decision</t>
  </si>
  <si>
    <t>Analysis Result</t>
  </si>
  <si>
    <t>N2O Emissions Costs ($/tonne N2O)</t>
  </si>
  <si>
    <t>NPV=O</t>
  </si>
  <si>
    <t>Biogas Best Option Cost</t>
  </si>
  <si>
    <t>Normal CCS Best Option Cost</t>
  </si>
  <si>
    <t>Biogas CCS Best Option Cost</t>
  </si>
  <si>
    <t>CCS Capital Cost</t>
  </si>
  <si>
    <t>$/kW</t>
  </si>
  <si>
    <t>Input and use a custom value for CCS capital costs</t>
  </si>
  <si>
    <t>Use estimated CCS capital cost based on delta of NGCC and NGCC-CCS data from NREL ATB</t>
  </si>
  <si>
    <t>Green = input variable</t>
  </si>
  <si>
    <t>ALLOWED TO CHANGE</t>
  </si>
  <si>
    <t xml:space="preserve"> Biogas price &lt; or =</t>
  </si>
  <si>
    <t>Decommissioning Cost ($/kW)</t>
  </si>
  <si>
    <t>Decommissioning Cost at Shutdown ($/kW)</t>
  </si>
  <si>
    <t>End of Life Cost</t>
  </si>
  <si>
    <t>Baseline CCS Addition Capital Cost ($/kW)</t>
  </si>
  <si>
    <t>Normal operation</t>
  </si>
  <si>
    <t>Biomethane = $3 per mmBTU</t>
  </si>
  <si>
    <t>Social Cost of Greenhouse Gases</t>
  </si>
  <si>
    <t>EIA/NETL</t>
  </si>
  <si>
    <t>Declining Average  Capacity Factor</t>
  </si>
  <si>
    <t>Constant High Capacity Factor</t>
  </si>
  <si>
    <t>Varying biomethane Costs</t>
  </si>
  <si>
    <t>Year of Switch to Biomethane</t>
  </si>
  <si>
    <t>Constant Capacity Factor NPV=0</t>
  </si>
  <si>
    <t>NPV = 0</t>
  </si>
  <si>
    <t>Biomethane</t>
  </si>
  <si>
    <t>Biomethane with CCS</t>
  </si>
  <si>
    <t>Normal Operation with CCS</t>
  </si>
  <si>
    <t>Normal Operation</t>
  </si>
  <si>
    <t>NPV=0</t>
  </si>
  <si>
    <t>No Price on Emissions</t>
  </si>
  <si>
    <t>NGCC Power Plant</t>
  </si>
  <si>
    <t>NGCC</t>
  </si>
  <si>
    <t>Annual loan payment ($/kW-yr)</t>
  </si>
  <si>
    <t>EIA $25 without Feedback</t>
  </si>
  <si>
    <t>EIA $25 Carbon Fee without Feedback</t>
  </si>
  <si>
    <t>EIA $25 Carbon Fee with Feedback</t>
  </si>
  <si>
    <t>Normal Heat Rate (mmBTU/MWh)</t>
  </si>
  <si>
    <t>CCS - Well/Pipeline Const/Install/Deinstall (tonne/kWh)*</t>
  </si>
  <si>
    <t>CCS - Well/Pipeline Operation (tonne/kWh)</t>
  </si>
  <si>
    <t>Biogas CCS - Upstream Fuel (tonne/kWh)**</t>
  </si>
  <si>
    <t>Baseline CCS Heat Rate (mmBTU/MWh)</t>
  </si>
  <si>
    <t>CCS Heat Rate</t>
  </si>
  <si>
    <t>mmBTU/MWh</t>
  </si>
  <si>
    <t>Heat Rate 
6 mmBTU per MWh</t>
  </si>
  <si>
    <t>Heat Rate 
8 mmBTU per MWh</t>
  </si>
  <si>
    <t>Heat Rate 
10 mmBTU per MWh</t>
  </si>
  <si>
    <t>Heat Rate
 12 mmBTU per MWh</t>
  </si>
  <si>
    <t>No Emissions Pricing</t>
  </si>
  <si>
    <t>Fuel Cost ($ per mmBTU)</t>
  </si>
  <si>
    <t>3% Social Cost</t>
  </si>
  <si>
    <t>EIA $25 with Feedback</t>
  </si>
  <si>
    <t>Capital Cost ($ per kW)</t>
  </si>
  <si>
    <t>Emissions Pricing</t>
  </si>
  <si>
    <t>Constant Average Capacity Factor (Baseline)</t>
  </si>
  <si>
    <t>Nomal Operation Social Cost</t>
  </si>
  <si>
    <t>Normal Operation - EIA $25 without Feedback</t>
  </si>
  <si>
    <t>Normal Operation - EIA $25 with Feedback</t>
  </si>
  <si>
    <t>Biomethane - EIA $25 with Feedback</t>
  </si>
  <si>
    <t>Biomethane - EIA $25 without Feedback</t>
  </si>
  <si>
    <t>Shutdown - EIA $25 with Feedback</t>
  </si>
  <si>
    <t>Shutdown - EIA $25 without Feedback</t>
  </si>
  <si>
    <t>Shutdown - Social Cost of Greenhouse Gases</t>
  </si>
  <si>
    <t>Biomethane - Social Cost of Greenhouse Gases</t>
  </si>
  <si>
    <t>Adoption in 2025</t>
  </si>
  <si>
    <t>Adoption in 2030</t>
  </si>
  <si>
    <t>Adoption in 2035</t>
  </si>
  <si>
    <t>Adoption in 2040</t>
  </si>
  <si>
    <t>Cost target for switch to biogas</t>
  </si>
  <si>
    <t>Biogas Fuel Price ($ per mmBTU)</t>
  </si>
  <si>
    <t>Emissions cost on embedded emissions?</t>
  </si>
  <si>
    <t>Greenhouse gas emissions cost</t>
  </si>
  <si>
    <t>Apply a cost to embedded emissions</t>
  </si>
  <si>
    <t>Do not apply a cost to embedded emissions</t>
  </si>
  <si>
    <t xml:space="preserve">Emissions cost applied to </t>
  </si>
  <si>
    <t>CO2, CH4, N2O</t>
  </si>
  <si>
    <t>Emissions costs are only applied to CO2</t>
  </si>
  <si>
    <t>Emissions costs are applied to CO2, CH4, and N2O</t>
  </si>
  <si>
    <t>Biomethane = $10 per mmBTU</t>
  </si>
  <si>
    <t>Biomethane = $4 per mmBTU</t>
  </si>
  <si>
    <t>Biomethane = $5 per mmBTU</t>
  </si>
  <si>
    <t>Emissions cost on natural gas fuel production?</t>
  </si>
  <si>
    <t>Emissions cost on biomethane fuel production</t>
  </si>
  <si>
    <t>Emissions cost on natural gas fuel production</t>
  </si>
  <si>
    <t>Emissions cost on natural gas combustion</t>
  </si>
  <si>
    <t>Emissions cost on embedded emissions</t>
  </si>
  <si>
    <t>Emissions cost on natural gas combustion?</t>
  </si>
  <si>
    <t>Economic credit for sequestration</t>
  </si>
  <si>
    <t>Apply a cost to emissons associated with upstream natural gas production</t>
  </si>
  <si>
    <t>Do not apply any cost to emissions associated with upstream natural gas production</t>
  </si>
  <si>
    <t>Apply a cost to emissons associated with upstream biogas production</t>
  </si>
  <si>
    <t>Do not apply any cost to emissions associated with upstream biogas production</t>
  </si>
  <si>
    <t>Apply a cost to emissons associated with natural gas combustion</t>
  </si>
  <si>
    <t>Do not apply any cost to emissions associated with natural gas combustion</t>
  </si>
  <si>
    <t>Greenhouse Gas Emissions Costs</t>
  </si>
  <si>
    <t>Cost Inputs</t>
  </si>
  <si>
    <t>Analysis Settings</t>
  </si>
  <si>
    <t>Year of adoption</t>
  </si>
  <si>
    <t>Ignore costs before adoption?</t>
  </si>
  <si>
    <t>Emissions cost on biogas fuel production?</t>
  </si>
  <si>
    <t>Gases included in emissions costs</t>
  </si>
  <si>
    <t>Heat Rate (mmBTU per MWh)</t>
  </si>
  <si>
    <t>Match NPV of</t>
  </si>
  <si>
    <t>Overnight Emissions Price</t>
  </si>
  <si>
    <t>Net Present Value (2020 $)</t>
  </si>
  <si>
    <t>Emissions Price (2020 $ per tonne CO2eq)</t>
  </si>
  <si>
    <t>2020 dollars</t>
  </si>
  <si>
    <t>High (5%) Methane Leak Rate</t>
  </si>
  <si>
    <t>Baseline (2.3%) Methane Leak Rate</t>
  </si>
  <si>
    <t>Low (1%) Methane Leak Rate</t>
  </si>
  <si>
    <t>Constant Average Capacity Factor BECCS Targets</t>
  </si>
  <si>
    <t>Switch to High Capacity Factor BECCS Targets</t>
  </si>
  <si>
    <t>Biomethane Emissions Sensitivity Targets</t>
  </si>
  <si>
    <t>Biomethane Emissions Scenario</t>
  </si>
  <si>
    <r>
      <t>High (50 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per MJ)</t>
    </r>
  </si>
  <si>
    <r>
      <t>Baseline (25 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per MJ)</t>
    </r>
  </si>
  <si>
    <r>
      <t>Low (12.5 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per MJ)</t>
    </r>
  </si>
  <si>
    <t>2025 - Constant Avg Capacity Factor</t>
  </si>
  <si>
    <t>2025 - High Capacity Factor</t>
  </si>
  <si>
    <t>Total</t>
  </si>
  <si>
    <t>CO₂</t>
  </si>
  <si>
    <t>N₂O</t>
  </si>
  <si>
    <t>CH₄</t>
  </si>
  <si>
    <t>Well Site (kg per kg natural gas)</t>
  </si>
  <si>
    <t>Pipeline (kg per kg natural gas)</t>
  </si>
  <si>
    <t>NGCC Plant without CCS (kg per MWh)</t>
  </si>
  <si>
    <t>NGCC Plant with CCS  (kg per MWh)</t>
  </si>
  <si>
    <t>Varied in Analysis</t>
  </si>
  <si>
    <t>MACRs depreciation (years)</t>
  </si>
  <si>
    <t>Loan term (years)</t>
  </si>
  <si>
    <t>Construction duration (years)</t>
  </si>
  <si>
    <t>Non-fuel variable O+M ($/kWh)</t>
  </si>
  <si>
    <t>Decommissioning cost ($/kW)</t>
  </si>
  <si>
    <t>Fuel costs</t>
  </si>
  <si>
    <t>Electricity prices</t>
  </si>
  <si>
    <t>Capacity factor</t>
  </si>
  <si>
    <t>Adoption timing</t>
  </si>
  <si>
    <t>Greenhouse gas emissions pricing</t>
  </si>
  <si>
    <t>See Figure S1</t>
  </si>
  <si>
    <t>See Figure S2</t>
  </si>
  <si>
    <t>Heat rate (mmBTU/MWh)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</si>
</sst>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"/>
    <numFmt numFmtId="166" formatCode="0.0%"/>
    <numFmt numFmtId="167" formatCode="&quot;$&quot;#,##0.00"/>
    <numFmt numFmtId="168" formatCode="&quot;$&quot;#,##0"/>
    <numFmt numFmtId="169" formatCode="_(* #,##0.00000_);_(* \(#,##0.00000\);_(* &quot;-&quot;??_);_(@_)"/>
    <numFmt numFmtId="170" formatCode="_(* #,##0.000_);_(* \(#,##0.000\);_(* &quot;-&quot;??_);_(@_)"/>
    <numFmt numFmtId="171" formatCode="0.000E+00"/>
    <numFmt numFmtId="172" formatCode="_(* #,##0.00000000_);_(* \(#,##0.00000000\);_(* &quot;-&quot;??_);_(@_)"/>
    <numFmt numFmtId="173" formatCode="0.00000000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rgb="FF000000"/>
      <name val="Calibri"/>
      <family val="2"/>
    </font>
    <font>
      <sz val="20"/>
      <color rgb="FF000000"/>
      <name val="Calibri"/>
      <family val="2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FC36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58BFF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rgb="FFE8D1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EDFDA"/>
        <bgColor indexed="64"/>
      </patternFill>
    </fill>
    <fill>
      <patternFill patternType="solid">
        <fgColor rgb="FFF69CE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9" fontId="8" fillId="0" borderId="0" applyFont="0" applyFill="0" applyBorder="0" applyAlignment="0" applyProtection="0"/>
    <xf numFmtId="0" fontId="9" fillId="4" borderId="13" applyNumberFormat="0" applyAlignment="0" applyProtection="0"/>
    <xf numFmtId="44" fontId="8" fillId="0" borderId="0" applyFont="0" applyFill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43" fontId="8" fillId="0" borderId="0" applyFont="0" applyFill="0" applyBorder="0" applyAlignment="0" applyProtection="0"/>
  </cellStyleXfs>
  <cellXfs count="394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9" fontId="0" fillId="3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3" fontId="3" fillId="0" borderId="0" xfId="0" applyNumberFormat="1" applyFont="1" applyBorder="1" applyAlignment="1">
      <alignment horizontal="center" vertical="center" wrapText="1"/>
    </xf>
    <xf numFmtId="3" fontId="4" fillId="0" borderId="0" xfId="0" applyNumberFormat="1" applyFont="1" applyBorder="1" applyAlignment="1">
      <alignment horizontal="center" vertical="center" wrapText="1"/>
    </xf>
    <xf numFmtId="0" fontId="0" fillId="0" borderId="0" xfId="0" applyBorder="1"/>
    <xf numFmtId="1" fontId="0" fillId="2" borderId="6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" fillId="0" borderId="0" xfId="0" applyFont="1" applyFill="1"/>
    <xf numFmtId="0" fontId="1" fillId="0" borderId="0" xfId="0" applyFont="1" applyBorder="1"/>
    <xf numFmtId="0" fontId="0" fillId="0" borderId="0" xfId="0" applyBorder="1" applyAlignment="1"/>
    <xf numFmtId="0" fontId="0" fillId="0" borderId="1" xfId="0" applyBorder="1"/>
    <xf numFmtId="0" fontId="0" fillId="0" borderId="1" xfId="0" applyFill="1" applyBorder="1"/>
    <xf numFmtId="0" fontId="6" fillId="0" borderId="0" xfId="0" applyFont="1" applyBorder="1"/>
    <xf numFmtId="2" fontId="0" fillId="0" borderId="0" xfId="0" applyNumberFormat="1"/>
    <xf numFmtId="1" fontId="0" fillId="0" borderId="0" xfId="0" applyNumberFormat="1"/>
    <xf numFmtId="0" fontId="0" fillId="7" borderId="0" xfId="0" applyFill="1"/>
    <xf numFmtId="0" fontId="1" fillId="7" borderId="0" xfId="0" applyFont="1" applyFill="1"/>
    <xf numFmtId="0" fontId="0" fillId="0" borderId="0" xfId="0" applyFill="1"/>
    <xf numFmtId="9" fontId="0" fillId="0" borderId="1" xfId="0" applyNumberFormat="1" applyBorder="1"/>
    <xf numFmtId="164" fontId="0" fillId="0" borderId="1" xfId="0" applyNumberFormat="1" applyBorder="1"/>
    <xf numFmtId="0" fontId="0" fillId="3" borderId="15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9" fontId="0" fillId="0" borderId="1" xfId="1" applyFont="1" applyBorder="1"/>
    <xf numFmtId="9" fontId="0" fillId="0" borderId="0" xfId="1" applyFont="1" applyBorder="1"/>
    <xf numFmtId="164" fontId="0" fillId="0" borderId="0" xfId="0" applyNumberFormat="1" applyBorder="1"/>
    <xf numFmtId="1" fontId="0" fillId="0" borderId="1" xfId="0" applyNumberFormat="1" applyBorder="1" applyAlignment="1">
      <alignment horizontal="center"/>
    </xf>
    <xf numFmtId="1" fontId="0" fillId="0" borderId="0" xfId="0" applyNumberFormat="1" applyBorder="1"/>
    <xf numFmtId="10" fontId="0" fillId="0" borderId="1" xfId="0" applyNumberFormat="1" applyBorder="1"/>
    <xf numFmtId="164" fontId="0" fillId="0" borderId="0" xfId="0" applyNumberFormat="1"/>
    <xf numFmtId="0" fontId="0" fillId="0" borderId="1" xfId="0" applyBorder="1"/>
    <xf numFmtId="0" fontId="0" fillId="0" borderId="1" xfId="0" applyFill="1" applyBorder="1"/>
    <xf numFmtId="1" fontId="5" fillId="0" borderId="1" xfId="2" applyNumberFormat="1" applyFont="1" applyFill="1" applyBorder="1" applyAlignment="1">
      <alignment horizontal="right"/>
    </xf>
    <xf numFmtId="164" fontId="5" fillId="0" borderId="1" xfId="2" applyNumberFormat="1" applyFont="1" applyFill="1" applyBorder="1" applyAlignment="1">
      <alignment horizontal="right"/>
    </xf>
    <xf numFmtId="9" fontId="5" fillId="0" borderId="1" xfId="2" applyNumberFormat="1" applyFont="1" applyFill="1" applyBorder="1"/>
    <xf numFmtId="0" fontId="5" fillId="0" borderId="1" xfId="2" applyNumberFormat="1" applyFont="1" applyFill="1" applyBorder="1"/>
    <xf numFmtId="166" fontId="5" fillId="0" borderId="1" xfId="2" applyNumberFormat="1" applyFont="1" applyFill="1" applyBorder="1"/>
    <xf numFmtId="1" fontId="5" fillId="0" borderId="1" xfId="0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0" borderId="0" xfId="0" applyNumberFormat="1" applyBorder="1"/>
    <xf numFmtId="1" fontId="5" fillId="0" borderId="0" xfId="0" applyNumberFormat="1" applyFont="1" applyFill="1" applyBorder="1" applyAlignment="1">
      <alignment horizontal="right"/>
    </xf>
    <xf numFmtId="0" fontId="1" fillId="0" borderId="0" xfId="0" applyFont="1"/>
    <xf numFmtId="10" fontId="0" fillId="0" borderId="0" xfId="0" applyNumberFormat="1" applyFill="1" applyBorder="1" applyAlignment="1">
      <alignment horizontal="center"/>
    </xf>
    <xf numFmtId="0" fontId="0" fillId="3" borderId="0" xfId="0" applyFill="1"/>
    <xf numFmtId="42" fontId="0" fillId="3" borderId="0" xfId="0" applyNumberFormat="1" applyFill="1"/>
    <xf numFmtId="0" fontId="0" fillId="3" borderId="0" xfId="5" applyFont="1" applyFill="1"/>
    <xf numFmtId="0" fontId="0" fillId="0" borderId="21" xfId="0" applyBorder="1"/>
    <xf numFmtId="0" fontId="0" fillId="0" borderId="20" xfId="0" applyBorder="1"/>
    <xf numFmtId="0" fontId="0" fillId="12" borderId="21" xfId="0" applyFill="1" applyBorder="1"/>
    <xf numFmtId="0" fontId="0" fillId="14" borderId="21" xfId="0" applyFill="1" applyBorder="1"/>
    <xf numFmtId="0" fontId="0" fillId="0" borderId="21" xfId="0" applyFill="1" applyBorder="1"/>
    <xf numFmtId="0" fontId="0" fillId="16" borderId="21" xfId="0" applyFill="1" applyBorder="1"/>
    <xf numFmtId="8" fontId="0" fillId="16" borderId="21" xfId="0" applyNumberFormat="1" applyFill="1" applyBorder="1"/>
    <xf numFmtId="44" fontId="0" fillId="15" borderId="0" xfId="0" applyNumberFormat="1" applyFill="1" applyBorder="1"/>
    <xf numFmtId="42" fontId="0" fillId="15" borderId="0" xfId="0" applyNumberFormat="1" applyFill="1" applyBorder="1"/>
    <xf numFmtId="42" fontId="0" fillId="18" borderId="0" xfId="0" applyNumberFormat="1" applyFill="1" applyBorder="1"/>
    <xf numFmtId="42" fontId="0" fillId="19" borderId="0" xfId="0" applyNumberFormat="1" applyFill="1" applyBorder="1"/>
    <xf numFmtId="44" fontId="0" fillId="19" borderId="0" xfId="0" applyNumberFormat="1" applyFill="1" applyBorder="1"/>
    <xf numFmtId="42" fontId="0" fillId="8" borderId="20" xfId="0" applyNumberFormat="1" applyFill="1" applyBorder="1"/>
    <xf numFmtId="1" fontId="0" fillId="8" borderId="20" xfId="0" applyNumberFormat="1" applyFill="1" applyBorder="1"/>
    <xf numFmtId="42" fontId="0" fillId="3" borderId="0" xfId="0" applyNumberFormat="1" applyFill="1" applyBorder="1"/>
    <xf numFmtId="1" fontId="0" fillId="3" borderId="0" xfId="0" applyNumberFormat="1" applyFill="1" applyBorder="1"/>
    <xf numFmtId="42" fontId="0" fillId="14" borderId="21" xfId="0" applyNumberFormat="1" applyFill="1" applyBorder="1"/>
    <xf numFmtId="0" fontId="0" fillId="9" borderId="20" xfId="0" applyFill="1" applyBorder="1"/>
    <xf numFmtId="42" fontId="0" fillId="9" borderId="20" xfId="0" applyNumberFormat="1" applyFill="1" applyBorder="1"/>
    <xf numFmtId="0" fontId="1" fillId="3" borderId="18" xfId="4" applyFont="1" applyFill="1" applyBorder="1"/>
    <xf numFmtId="1" fontId="0" fillId="0" borderId="20" xfId="0" applyNumberFormat="1" applyBorder="1"/>
    <xf numFmtId="42" fontId="0" fillId="12" borderId="21" xfId="0" applyNumberFormat="1" applyFill="1" applyBorder="1"/>
    <xf numFmtId="0" fontId="0" fillId="20" borderId="21" xfId="0" applyFill="1" applyBorder="1"/>
    <xf numFmtId="0" fontId="0" fillId="17" borderId="0" xfId="0" applyFill="1" applyBorder="1"/>
    <xf numFmtId="0" fontId="0" fillId="21" borderId="0" xfId="0" applyFill="1" applyBorder="1"/>
    <xf numFmtId="0" fontId="0" fillId="18" borderId="0" xfId="0" applyFill="1" applyBorder="1"/>
    <xf numFmtId="0" fontId="0" fillId="10" borderId="20" xfId="0" applyFill="1" applyBorder="1"/>
    <xf numFmtId="0" fontId="0" fillId="11" borderId="20" xfId="0" applyFill="1" applyBorder="1"/>
    <xf numFmtId="42" fontId="0" fillId="21" borderId="0" xfId="0" applyNumberFormat="1" applyFill="1" applyBorder="1"/>
    <xf numFmtId="42" fontId="0" fillId="11" borderId="20" xfId="0" applyNumberFormat="1" applyFill="1" applyBorder="1"/>
    <xf numFmtId="9" fontId="0" fillId="20" borderId="21" xfId="1" applyFont="1" applyFill="1" applyBorder="1"/>
    <xf numFmtId="42" fontId="0" fillId="10" borderId="20" xfId="0" applyNumberFormat="1" applyFill="1" applyBorder="1"/>
    <xf numFmtId="0" fontId="0" fillId="22" borderId="21" xfId="0" applyFill="1" applyBorder="1"/>
    <xf numFmtId="42" fontId="0" fillId="22" borderId="21" xfId="0" applyNumberFormat="1" applyFill="1" applyBorder="1"/>
    <xf numFmtId="0" fontId="0" fillId="23" borderId="0" xfId="0" applyFill="1" applyBorder="1"/>
    <xf numFmtId="2" fontId="0" fillId="23" borderId="0" xfId="0" applyNumberFormat="1" applyFill="1" applyBorder="1"/>
    <xf numFmtId="0" fontId="0" fillId="24" borderId="0" xfId="0" applyFill="1" applyBorder="1"/>
    <xf numFmtId="2" fontId="0" fillId="24" borderId="0" xfId="0" applyNumberFormat="1" applyFill="1" applyBorder="1"/>
    <xf numFmtId="167" fontId="0" fillId="24" borderId="0" xfId="0" applyNumberFormat="1" applyFill="1" applyBorder="1"/>
    <xf numFmtId="2" fontId="0" fillId="25" borderId="20" xfId="0" applyNumberFormat="1" applyFill="1" applyBorder="1"/>
    <xf numFmtId="9" fontId="0" fillId="0" borderId="21" xfId="1" applyFont="1" applyBorder="1"/>
    <xf numFmtId="0" fontId="1" fillId="0" borderId="0" xfId="0" applyFont="1" applyFill="1"/>
    <xf numFmtId="9" fontId="0" fillId="0" borderId="1" xfId="1" applyFont="1" applyFill="1" applyBorder="1"/>
    <xf numFmtId="9" fontId="0" fillId="0" borderId="0" xfId="1" applyFont="1" applyFill="1" applyBorder="1"/>
    <xf numFmtId="9" fontId="0" fillId="0" borderId="0" xfId="1" applyFont="1" applyFill="1"/>
    <xf numFmtId="0" fontId="0" fillId="0" borderId="20" xfId="0" applyFill="1" applyBorder="1"/>
    <xf numFmtId="2" fontId="0" fillId="0" borderId="21" xfId="0" applyNumberFormat="1" applyBorder="1"/>
    <xf numFmtId="1" fontId="0" fillId="0" borderId="21" xfId="0" applyNumberFormat="1" applyBorder="1"/>
    <xf numFmtId="169" fontId="0" fillId="0" borderId="0" xfId="6" applyNumberFormat="1" applyFont="1" applyBorder="1"/>
    <xf numFmtId="9" fontId="0" fillId="0" borderId="0" xfId="0" applyNumberFormat="1" applyFill="1" applyBorder="1"/>
    <xf numFmtId="11" fontId="0" fillId="0" borderId="0" xfId="0" applyNumberFormat="1" applyFill="1" applyBorder="1"/>
    <xf numFmtId="11" fontId="0" fillId="0" borderId="0" xfId="0" applyNumberFormat="1" applyFill="1"/>
    <xf numFmtId="2" fontId="0" fillId="0" borderId="20" xfId="0" applyNumberFormat="1" applyBorder="1"/>
    <xf numFmtId="9" fontId="5" fillId="0" borderId="0" xfId="2" applyNumberFormat="1" applyFont="1" applyFill="1" applyBorder="1"/>
    <xf numFmtId="166" fontId="5" fillId="0" borderId="0" xfId="2" applyNumberFormat="1" applyFont="1" applyFill="1" applyBorder="1"/>
    <xf numFmtId="0" fontId="5" fillId="0" borderId="0" xfId="2" applyNumberFormat="1" applyFont="1" applyFill="1" applyBorder="1"/>
    <xf numFmtId="1" fontId="5" fillId="0" borderId="0" xfId="2" applyNumberFormat="1" applyFont="1" applyFill="1" applyBorder="1" applyAlignment="1">
      <alignment horizontal="right"/>
    </xf>
    <xf numFmtId="164" fontId="5" fillId="0" borderId="0" xfId="2" applyNumberFormat="1" applyFont="1" applyFill="1" applyBorder="1" applyAlignment="1">
      <alignment horizontal="right"/>
    </xf>
    <xf numFmtId="166" fontId="5" fillId="0" borderId="0" xfId="2" applyNumberFormat="1" applyFont="1" applyFill="1" applyBorder="1" applyAlignment="1"/>
    <xf numFmtId="0" fontId="0" fillId="0" borderId="0" xfId="0" quotePrefix="1" applyBorder="1"/>
    <xf numFmtId="0" fontId="0" fillId="0" borderId="0" xfId="0" applyFont="1" applyBorder="1" applyAlignment="1"/>
    <xf numFmtId="11" fontId="0" fillId="0" borderId="0" xfId="0" applyNumberFormat="1"/>
    <xf numFmtId="11" fontId="0" fillId="0" borderId="21" xfId="6" applyNumberFormat="1" applyFont="1" applyBorder="1"/>
    <xf numFmtId="11" fontId="0" fillId="0" borderId="0" xfId="6" applyNumberFormat="1" applyFont="1" applyBorder="1"/>
    <xf numFmtId="11" fontId="0" fillId="0" borderId="0" xfId="0" applyNumberFormat="1" applyBorder="1"/>
    <xf numFmtId="0" fontId="0" fillId="13" borderId="0" xfId="5" applyFont="1" applyFill="1" applyBorder="1"/>
    <xf numFmtId="0" fontId="0" fillId="26" borderId="21" xfId="5" applyFont="1" applyFill="1" applyBorder="1"/>
    <xf numFmtId="1" fontId="8" fillId="26" borderId="21" xfId="5" applyNumberFormat="1" applyFill="1" applyBorder="1"/>
    <xf numFmtId="0" fontId="0" fillId="27" borderId="20" xfId="5" applyFont="1" applyFill="1" applyBorder="1"/>
    <xf numFmtId="170" fontId="0" fillId="0" borderId="0" xfId="6" applyNumberFormat="1" applyFont="1" applyBorder="1"/>
    <xf numFmtId="1" fontId="0" fillId="17" borderId="0" xfId="0" applyNumberFormat="1" applyFill="1" applyBorder="1"/>
    <xf numFmtId="2" fontId="0" fillId="0" borderId="1" xfId="0" applyNumberFormat="1" applyFill="1" applyBorder="1"/>
    <xf numFmtId="0" fontId="0" fillId="0" borderId="0" xfId="0" applyAlignment="1">
      <alignment horizontal="center"/>
    </xf>
    <xf numFmtId="42" fontId="0" fillId="0" borderId="0" xfId="0" applyNumberFormat="1"/>
    <xf numFmtId="0" fontId="0" fillId="0" borderId="0" xfId="3" applyNumberFormat="1" applyFont="1" applyFill="1" applyBorder="1"/>
    <xf numFmtId="0" fontId="0" fillId="0" borderId="0" xfId="0" applyFont="1" applyFill="1" applyBorder="1" applyAlignment="1">
      <alignment horizontal="center"/>
    </xf>
    <xf numFmtId="166" fontId="5" fillId="0" borderId="0" xfId="2" applyNumberFormat="1" applyFont="1" applyFill="1" applyBorder="1" applyAlignment="1">
      <alignment horizontal="center"/>
    </xf>
    <xf numFmtId="2" fontId="5" fillId="0" borderId="0" xfId="2" applyNumberFormat="1" applyFont="1" applyFill="1" applyBorder="1" applyAlignment="1">
      <alignment horizontal="right"/>
    </xf>
    <xf numFmtId="9" fontId="0" fillId="0" borderId="0" xfId="1" applyFont="1"/>
    <xf numFmtId="49" fontId="0" fillId="0" borderId="0" xfId="0" applyNumberFormat="1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2" fontId="5" fillId="0" borderId="0" xfId="2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1" xfId="0" applyNumberFormat="1" applyFill="1" applyBorder="1"/>
    <xf numFmtId="10" fontId="0" fillId="0" borderId="2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3" borderId="0" xfId="4" applyFont="1" applyFill="1"/>
    <xf numFmtId="0" fontId="1" fillId="3" borderId="0" xfId="0" applyFont="1" applyFill="1"/>
    <xf numFmtId="0" fontId="1" fillId="3" borderId="0" xfId="5" applyFont="1" applyFill="1"/>
    <xf numFmtId="0" fontId="8" fillId="3" borderId="18" xfId="4" applyFill="1" applyBorder="1"/>
    <xf numFmtId="0" fontId="1" fillId="3" borderId="0" xfId="0" applyFont="1" applyFill="1" applyBorder="1"/>
    <xf numFmtId="0" fontId="1" fillId="3" borderId="0" xfId="0" applyNumberFormat="1" applyFont="1" applyFill="1" applyBorder="1"/>
    <xf numFmtId="0" fontId="1" fillId="3" borderId="18" xfId="0" applyFont="1" applyFill="1" applyBorder="1"/>
    <xf numFmtId="0" fontId="1" fillId="3" borderId="18" xfId="0" applyNumberFormat="1" applyFont="1" applyFill="1" applyBorder="1"/>
    <xf numFmtId="0" fontId="1" fillId="3" borderId="1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11" fontId="0" fillId="0" borderId="20" xfId="0" applyNumberFormat="1" applyFill="1" applyBorder="1"/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Fill="1" applyBorder="1" applyAlignment="1"/>
    <xf numFmtId="0" fontId="0" fillId="0" borderId="1" xfId="0" applyFill="1" applyBorder="1" applyAlignment="1"/>
    <xf numFmtId="11" fontId="0" fillId="0" borderId="1" xfId="0" quotePrefix="1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0" fontId="0" fillId="0" borderId="22" xfId="0" applyFill="1" applyBorder="1"/>
    <xf numFmtId="11" fontId="0" fillId="0" borderId="1" xfId="0" applyNumberFormat="1" applyBorder="1" applyAlignment="1">
      <alignment horizontal="center"/>
    </xf>
    <xf numFmtId="11" fontId="0" fillId="0" borderId="1" xfId="1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/>
    <xf numFmtId="1" fontId="0" fillId="3" borderId="6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0" fontId="0" fillId="3" borderId="17" xfId="0" applyNumberFormat="1" applyFill="1" applyBorder="1" applyAlignment="1">
      <alignment horizontal="center"/>
    </xf>
    <xf numFmtId="1" fontId="0" fillId="3" borderId="17" xfId="0" applyNumberFormat="1" applyFill="1" applyBorder="1" applyAlignment="1">
      <alignment horizontal="center"/>
    </xf>
    <xf numFmtId="1" fontId="0" fillId="2" borderId="17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2" borderId="25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7" xfId="0" applyFill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2" borderId="25" xfId="0" applyNumberForma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0" fontId="0" fillId="0" borderId="18" xfId="0" applyBorder="1"/>
    <xf numFmtId="0" fontId="0" fillId="3" borderId="18" xfId="0" applyFill="1" applyBorder="1"/>
    <xf numFmtId="171" fontId="0" fillId="0" borderId="0" xfId="0" applyNumberFormat="1" applyBorder="1"/>
    <xf numFmtId="164" fontId="0" fillId="0" borderId="20" xfId="0" applyNumberFormat="1" applyBorder="1"/>
    <xf numFmtId="11" fontId="0" fillId="0" borderId="20" xfId="0" applyNumberFormat="1" applyBorder="1"/>
    <xf numFmtId="11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1" xfId="0" applyFont="1" applyBorder="1"/>
    <xf numFmtId="0" fontId="1" fillId="0" borderId="20" xfId="0" applyFont="1" applyFill="1" applyBorder="1"/>
    <xf numFmtId="11" fontId="1" fillId="0" borderId="20" xfId="0" applyNumberFormat="1" applyFont="1" applyBorder="1"/>
    <xf numFmtId="1" fontId="0" fillId="0" borderId="0" xfId="0" applyNumberFormat="1" applyFill="1"/>
    <xf numFmtId="11" fontId="0" fillId="0" borderId="0" xfId="0" applyNumberFormat="1" applyFont="1" applyFill="1" applyBorder="1"/>
    <xf numFmtId="11" fontId="0" fillId="0" borderId="21" xfId="0" applyNumberFormat="1" applyFill="1" applyBorder="1"/>
    <xf numFmtId="11" fontId="0" fillId="0" borderId="20" xfId="0" applyNumberFormat="1" applyFont="1" applyFill="1" applyBorder="1"/>
    <xf numFmtId="164" fontId="8" fillId="26" borderId="21" xfId="5" applyNumberFormat="1" applyFill="1" applyBorder="1"/>
    <xf numFmtId="164" fontId="0" fillId="13" borderId="0" xfId="5" applyNumberFormat="1" applyFont="1" applyFill="1" applyBorder="1"/>
    <xf numFmtId="164" fontId="0" fillId="27" borderId="20" xfId="5" applyNumberFormat="1" applyFont="1" applyFill="1" applyBorder="1"/>
    <xf numFmtId="0" fontId="0" fillId="25" borderId="0" xfId="0" applyFill="1" applyBorder="1"/>
    <xf numFmtId="2" fontId="0" fillId="25" borderId="0" xfId="0" applyNumberFormat="1" applyFill="1" applyBorder="1"/>
    <xf numFmtId="9" fontId="0" fillId="0" borderId="0" xfId="0" applyNumberFormat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0" borderId="0" xfId="0" applyAlignment="1">
      <alignment horizontal="left"/>
    </xf>
    <xf numFmtId="10" fontId="0" fillId="0" borderId="0" xfId="0" applyNumberFormat="1" applyFill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18" xfId="0" applyFont="1" applyFill="1" applyBorder="1"/>
    <xf numFmtId="168" fontId="0" fillId="2" borderId="18" xfId="0" applyNumberFormat="1" applyFont="1" applyFill="1" applyBorder="1" applyAlignment="1">
      <alignment horizontal="center"/>
    </xf>
    <xf numFmtId="0" fontId="0" fillId="0" borderId="0" xfId="0" applyAlignment="1"/>
    <xf numFmtId="1" fontId="0" fillId="0" borderId="0" xfId="0" applyNumberFormat="1" applyFill="1" applyBorder="1"/>
    <xf numFmtId="2" fontId="0" fillId="0" borderId="0" xfId="6" applyNumberFormat="1" applyFont="1" applyBorder="1"/>
    <xf numFmtId="43" fontId="0" fillId="0" borderId="0" xfId="6" applyNumberFormat="1" applyFont="1" applyBorder="1"/>
    <xf numFmtId="0" fontId="10" fillId="0" borderId="0" xfId="0" applyFont="1" applyFill="1" applyBorder="1" applyAlignment="1">
      <alignment horizontal="center" vertical="center"/>
    </xf>
    <xf numFmtId="10" fontId="0" fillId="0" borderId="21" xfId="0" applyNumberFormat="1" applyFill="1" applyBorder="1" applyAlignment="1">
      <alignment horizontal="center"/>
    </xf>
    <xf numFmtId="0" fontId="1" fillId="3" borderId="21" xfId="0" applyFont="1" applyFill="1" applyBorder="1"/>
    <xf numFmtId="0" fontId="1" fillId="3" borderId="21" xfId="0" applyFont="1" applyFill="1" applyBorder="1" applyAlignment="1">
      <alignment horizontal="center"/>
    </xf>
    <xf numFmtId="2" fontId="0" fillId="0" borderId="1" xfId="3" applyNumberFormat="1" applyFont="1" applyBorder="1" applyAlignment="1">
      <alignment horizontal="center"/>
    </xf>
    <xf numFmtId="1" fontId="0" fillId="8" borderId="0" xfId="0" applyNumberForma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0" xfId="0" applyNumberFormat="1" applyFill="1" applyBorder="1" applyAlignment="1">
      <alignment horizontal="center"/>
    </xf>
    <xf numFmtId="2" fontId="0" fillId="8" borderId="28" xfId="0" applyNumberFormat="1" applyFill="1" applyBorder="1"/>
    <xf numFmtId="0" fontId="0" fillId="8" borderId="0" xfId="0" applyFill="1" applyBorder="1"/>
    <xf numFmtId="9" fontId="0" fillId="8" borderId="0" xfId="0" applyNumberFormat="1" applyFill="1" applyBorder="1"/>
    <xf numFmtId="0" fontId="0" fillId="8" borderId="20" xfId="0" applyFill="1" applyBorder="1"/>
    <xf numFmtId="1" fontId="1" fillId="8" borderId="0" xfId="0" applyNumberFormat="1" applyFont="1" applyFill="1" applyBorder="1" applyAlignment="1">
      <alignment horizontal="center"/>
    </xf>
    <xf numFmtId="7" fontId="0" fillId="0" borderId="0" xfId="0" applyNumberFormat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2" xfId="0" applyBorder="1"/>
    <xf numFmtId="42" fontId="1" fillId="3" borderId="18" xfId="0" applyNumberFormat="1" applyFont="1" applyFill="1" applyBorder="1"/>
    <xf numFmtId="42" fontId="0" fillId="3" borderId="18" xfId="0" applyNumberFormat="1" applyFill="1" applyBorder="1"/>
    <xf numFmtId="42" fontId="0" fillId="28" borderId="0" xfId="0" applyNumberFormat="1" applyFill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9" fontId="0" fillId="0" borderId="0" xfId="0" applyNumberFormat="1"/>
    <xf numFmtId="0" fontId="1" fillId="0" borderId="18" xfId="0" applyFont="1" applyBorder="1" applyAlignment="1">
      <alignment horizontal="center"/>
    </xf>
    <xf numFmtId="0" fontId="0" fillId="7" borderId="0" xfId="0" applyFill="1" applyBorder="1"/>
    <xf numFmtId="0" fontId="0" fillId="29" borderId="0" xfId="0" applyFill="1" applyBorder="1"/>
    <xf numFmtId="0" fontId="0" fillId="29" borderId="0" xfId="0" applyFill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29" borderId="0" xfId="1" applyFont="1" applyFill="1" applyBorder="1" applyAlignment="1">
      <alignment horizontal="center" vertical="center"/>
    </xf>
    <xf numFmtId="1" fontId="0" fillId="29" borderId="0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0" borderId="18" xfId="0" applyFont="1" applyBorder="1"/>
    <xf numFmtId="43" fontId="5" fillId="0" borderId="0" xfId="6" applyFont="1" applyFill="1" applyBorder="1" applyAlignment="1"/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wrapText="1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23" xfId="0" applyFont="1" applyBorder="1" applyAlignment="1">
      <alignment horizontal="center"/>
    </xf>
    <xf numFmtId="10" fontId="0" fillId="0" borderId="0" xfId="0" applyNumberFormat="1"/>
    <xf numFmtId="0" fontId="0" fillId="0" borderId="24" xfId="0" applyBorder="1"/>
    <xf numFmtId="2" fontId="0" fillId="8" borderId="38" xfId="0" applyNumberFormat="1" applyFill="1" applyBorder="1"/>
    <xf numFmtId="0" fontId="0" fillId="0" borderId="39" xfId="0" applyBorder="1"/>
    <xf numFmtId="2" fontId="0" fillId="8" borderId="22" xfId="0" applyNumberFormat="1" applyFill="1" applyBorder="1"/>
    <xf numFmtId="0" fontId="0" fillId="0" borderId="39" xfId="0" applyFill="1" applyBorder="1"/>
    <xf numFmtId="0" fontId="0" fillId="0" borderId="40" xfId="0" applyFill="1" applyBorder="1"/>
    <xf numFmtId="0" fontId="1" fillId="0" borderId="20" xfId="0" applyFont="1" applyBorder="1" applyAlignment="1">
      <alignment horizontal="center"/>
    </xf>
    <xf numFmtId="1" fontId="0" fillId="30" borderId="21" xfId="0" applyNumberForma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30" borderId="0" xfId="0" applyNumberFormat="1" applyFill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1" fillId="0" borderId="4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1" fontId="0" fillId="30" borderId="38" xfId="0" applyNumberFormat="1" applyFill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" fontId="0" fillId="30" borderId="22" xfId="0" applyNumberFormat="1" applyFill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0" borderId="14" xfId="0" applyFont="1" applyFill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30" borderId="37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/>
    <xf numFmtId="0" fontId="0" fillId="0" borderId="0" xfId="0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0" borderId="31" xfId="0" applyBorder="1"/>
    <xf numFmtId="1" fontId="0" fillId="0" borderId="36" xfId="0" applyNumberFormat="1" applyBorder="1"/>
    <xf numFmtId="7" fontId="0" fillId="0" borderId="0" xfId="0" applyNumberFormat="1" applyBorder="1"/>
    <xf numFmtId="172" fontId="0" fillId="0" borderId="0" xfId="6" applyNumberFormat="1" applyFont="1" applyFill="1" applyBorder="1"/>
    <xf numFmtId="173" fontId="1" fillId="3" borderId="18" xfId="0" applyNumberFormat="1" applyFont="1" applyFill="1" applyBorder="1"/>
    <xf numFmtId="11" fontId="0" fillId="0" borderId="0" xfId="6" applyNumberFormat="1" applyFont="1" applyFill="1" applyBorder="1"/>
    <xf numFmtId="11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1" fontId="1" fillId="3" borderId="18" xfId="0" applyNumberFormat="1" applyFont="1" applyFill="1" applyBorder="1"/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1" fontId="0" fillId="0" borderId="0" xfId="0" applyNumberFormat="1" applyAlignment="1">
      <alignment horizontal="center"/>
    </xf>
    <xf numFmtId="11" fontId="0" fillId="0" borderId="0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1" fontId="0" fillId="0" borderId="21" xfId="0" applyNumberFormat="1" applyBorder="1" applyAlignment="1">
      <alignment horizontal="center"/>
    </xf>
    <xf numFmtId="11" fontId="0" fillId="0" borderId="20" xfId="0" applyNumberFormat="1" applyBorder="1" applyAlignment="1">
      <alignment horizontal="center"/>
    </xf>
    <xf numFmtId="9" fontId="0" fillId="29" borderId="18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2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" fillId="0" borderId="18" xfId="0" applyFont="1" applyFill="1" applyBorder="1" applyAlignment="1">
      <alignment horizontal="left"/>
    </xf>
    <xf numFmtId="0" fontId="0" fillId="29" borderId="21" xfId="0" applyFill="1" applyBorder="1"/>
    <xf numFmtId="9" fontId="0" fillId="29" borderId="21" xfId="1" applyFont="1" applyFill="1" applyBorder="1" applyAlignment="1">
      <alignment horizontal="center" vertical="center"/>
    </xf>
  </cellXfs>
  <cellStyles count="7">
    <cellStyle name="20% - Accent3" xfId="4" builtinId="38"/>
    <cellStyle name="40% - Accent6" xfId="5" builtinId="51"/>
    <cellStyle name="Comma" xfId="6" builtinId="3"/>
    <cellStyle name="Currency" xfId="3" builtinId="4"/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69CEB"/>
      <color rgb="FFFFD1D1"/>
      <color rgb="FFFEDFDA"/>
      <color rgb="FFFFB3B3"/>
      <color rgb="FFFFFFFF"/>
      <color rgb="FFFFE5E5"/>
      <color rgb="FFFFEFEF"/>
      <color rgb="FFF7EFFF"/>
      <color rgb="FFFDFBFF"/>
      <color rgb="FFECD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1608585124291648"/>
          <c:w val="0.85025227932962433"/>
          <c:h val="0.7056839322860695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'Techno-Economic Analysis'!$B$65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Analysis'!$C$65:$AJ$65</c:f>
              <c:numCache>
                <c:formatCode>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292.28511230399994</c:v>
                </c:pt>
                <c:pt idx="4">
                  <c:v>266.02509445871556</c:v>
                </c:pt>
                <c:pt idx="5">
                  <c:v>240.52107783519901</c:v>
                </c:pt>
                <c:pt idx="6">
                  <c:v>217.7861062941447</c:v>
                </c:pt>
                <c:pt idx="7">
                  <c:v>200.17137057488293</c:v>
                </c:pt>
                <c:pt idx="8">
                  <c:v>185.18147858845603</c:v>
                </c:pt>
                <c:pt idx="9">
                  <c:v>171.13581983133651</c:v>
                </c:pt>
                <c:pt idx="10">
                  <c:v>157.39411779298118</c:v>
                </c:pt>
                <c:pt idx="11">
                  <c:v>142.43154906852169</c:v>
                </c:pt>
                <c:pt idx="12">
                  <c:v>128.68544272109284</c:v>
                </c:pt>
                <c:pt idx="13">
                  <c:v>116.70732035862751</c:v>
                </c:pt>
                <c:pt idx="14">
                  <c:v>105.36771201572776</c:v>
                </c:pt>
                <c:pt idx="15">
                  <c:v>95.209842167629617</c:v>
                </c:pt>
                <c:pt idx="16">
                  <c:v>87.350302026187194</c:v>
                </c:pt>
                <c:pt idx="17">
                  <c:v>79.765892700234176</c:v>
                </c:pt>
                <c:pt idx="18">
                  <c:v>72.048015859632528</c:v>
                </c:pt>
                <c:pt idx="19">
                  <c:v>65.545191818460438</c:v>
                </c:pt>
                <c:pt idx="20">
                  <c:v>59.637536992497658</c:v>
                </c:pt>
                <c:pt idx="21">
                  <c:v>54.804092950567778</c:v>
                </c:pt>
                <c:pt idx="22">
                  <c:v>49.910804663435997</c:v>
                </c:pt>
                <c:pt idx="23">
                  <c:v>45.200647846949728</c:v>
                </c:pt>
                <c:pt idx="24">
                  <c:v>41.210377488266566</c:v>
                </c:pt>
                <c:pt idx="25">
                  <c:v>37.564259716946573</c:v>
                </c:pt>
                <c:pt idx="26">
                  <c:v>34.224190084292623</c:v>
                </c:pt>
                <c:pt idx="27">
                  <c:v>31.369072731052505</c:v>
                </c:pt>
                <c:pt idx="28">
                  <c:v>28.653299231976234</c:v>
                </c:pt>
                <c:pt idx="29">
                  <c:v>26.158453095572511</c:v>
                </c:pt>
                <c:pt idx="30">
                  <c:v>24.075657601077769</c:v>
                </c:pt>
                <c:pt idx="31">
                  <c:v>22.046947762987877</c:v>
                </c:pt>
                <c:pt idx="32">
                  <c:v>20.162021700243642</c:v>
                </c:pt>
                <c:pt idx="33">
                  <c:v>18.51672508431583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E-4DDE-9CAF-AE7E11BE9197}"/>
            </c:ext>
          </c:extLst>
        </c:ser>
        <c:ser>
          <c:idx val="0"/>
          <c:order val="1"/>
          <c:tx>
            <c:strRef>
              <c:f>'Techno-Economic Analysis'!$B$63</c:f>
              <c:strCache>
                <c:ptCount val="1"/>
                <c:pt idx="0">
                  <c:v>Costs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Analysis'!$C$63:$AJ$63</c:f>
              <c:numCache>
                <c:formatCode>_("$"* #,##0_);_("$"* \(#,##0\);_("$"* "-"_);_(@_)</c:formatCode>
                <c:ptCount val="34"/>
                <c:pt idx="0">
                  <c:v>-448.78162891104017</c:v>
                </c:pt>
                <c:pt idx="1">
                  <c:v>-73.115056188000011</c:v>
                </c:pt>
                <c:pt idx="2">
                  <c:v>-69.560748000000004</c:v>
                </c:pt>
                <c:pt idx="3">
                  <c:v>-216.28792866510474</c:v>
                </c:pt>
                <c:pt idx="4">
                  <c:v>-191.2826163827217</c:v>
                </c:pt>
                <c:pt idx="5">
                  <c:v>-176.58109634531633</c:v>
                </c:pt>
                <c:pt idx="6">
                  <c:v>-164.35509200860324</c:v>
                </c:pt>
                <c:pt idx="7">
                  <c:v>-154.97303630456648</c:v>
                </c:pt>
                <c:pt idx="8">
                  <c:v>-148.29224708224544</c:v>
                </c:pt>
                <c:pt idx="9">
                  <c:v>-140.01968862974729</c:v>
                </c:pt>
                <c:pt idx="10">
                  <c:v>-130.36681786975859</c:v>
                </c:pt>
                <c:pt idx="11">
                  <c:v>-119.90397093177666</c:v>
                </c:pt>
                <c:pt idx="12">
                  <c:v>-109.38066897546776</c:v>
                </c:pt>
                <c:pt idx="13">
                  <c:v>-69.912872027380189</c:v>
                </c:pt>
                <c:pt idx="14">
                  <c:v>-63.389687715746277</c:v>
                </c:pt>
                <c:pt idx="15">
                  <c:v>-57.997034146533707</c:v>
                </c:pt>
                <c:pt idx="16">
                  <c:v>-53.765569865108098</c:v>
                </c:pt>
                <c:pt idx="17">
                  <c:v>-49.627064895326697</c:v>
                </c:pt>
                <c:pt idx="18">
                  <c:v>-47.344910730439885</c:v>
                </c:pt>
                <c:pt idx="19">
                  <c:v>-45.233789167112022</c:v>
                </c:pt>
                <c:pt idx="20">
                  <c:v>-41.595720289477065</c:v>
                </c:pt>
                <c:pt idx="21">
                  <c:v>-38.297094490264364</c:v>
                </c:pt>
                <c:pt idx="22">
                  <c:v>-35.068854288030757</c:v>
                </c:pt>
                <c:pt idx="23">
                  <c:v>-32.049385697392822</c:v>
                </c:pt>
                <c:pt idx="24">
                  <c:v>-29.320601989859266</c:v>
                </c:pt>
                <c:pt idx="25">
                  <c:v>-26.87222688997306</c:v>
                </c:pt>
                <c:pt idx="26">
                  <c:v>-24.625948426332648</c:v>
                </c:pt>
                <c:pt idx="27">
                  <c:v>-22.638141152518301</c:v>
                </c:pt>
                <c:pt idx="28">
                  <c:v>-20.774523253613832</c:v>
                </c:pt>
                <c:pt idx="29">
                  <c:v>-19.140905592369265</c:v>
                </c:pt>
                <c:pt idx="30">
                  <c:v>-17.714341767525816</c:v>
                </c:pt>
                <c:pt idx="31">
                  <c:v>-16.322667894926791</c:v>
                </c:pt>
                <c:pt idx="32">
                  <c:v>-15.005779930530524</c:v>
                </c:pt>
                <c:pt idx="33">
                  <c:v>-13.879189640754692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CE-4DDE-9CAF-AE7E11BE9197}"/>
            </c:ext>
          </c:extLst>
        </c:ser>
        <c:ser>
          <c:idx val="4"/>
          <c:order val="2"/>
          <c:tx>
            <c:strRef>
              <c:f>'Techno-Economic Analysis'!$B$64</c:f>
              <c:strCache>
                <c:ptCount val="1"/>
                <c:pt idx="0">
                  <c:v>GHG Costs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Analysis'!$C$64:$AJ$64</c:f>
              <c:numCache>
                <c:formatCode>_("$"* #,##0_);_("$"* \(#,##0\);_("$"* "-"_);_(@_)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94CE-4DDE-9CAF-AE7E11BE9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4612000"/>
        <c:axId val="764608672"/>
        <c:extLst/>
      </c:barChart>
      <c:lineChart>
        <c:grouping val="standard"/>
        <c:varyColors val="0"/>
        <c:ser>
          <c:idx val="3"/>
          <c:order val="3"/>
          <c:tx>
            <c:strRef>
              <c:f>'Techno-Economic Analysis'!$B$67</c:f>
              <c:strCache>
                <c:ptCount val="1"/>
                <c:pt idx="0">
                  <c:v>Net Present Value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'Techno-Economic Analysis'!$C$231:$AJ$231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'Techno-Economic Analysis'!$C$67:$AJ$67</c:f>
              <c:numCache>
                <c:formatCode>_("$"* #,##0_);_("$"* \(#,##0\);_("$"* "-"_);_(@_)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-440.71777138415109</c:v>
                </c:pt>
                <c:pt idx="5">
                  <c:v>-376.77778989426838</c:v>
                </c:pt>
                <c:pt idx="6">
                  <c:v>-323.34677560872694</c:v>
                </c:pt>
                <c:pt idx="7">
                  <c:v>-278.14844133841052</c:v>
                </c:pt>
                <c:pt idx="8">
                  <c:v>-241.25920983219993</c:v>
                </c:pt>
                <c:pt idx="9">
                  <c:v>-210.14307863061072</c:v>
                </c:pt>
                <c:pt idx="10">
                  <c:v>-183.11577870738813</c:v>
                </c:pt>
                <c:pt idx="11">
                  <c:v>-160.5882005706431</c:v>
                </c:pt>
                <c:pt idx="12">
                  <c:v>-141.28342682501801</c:v>
                </c:pt>
                <c:pt idx="13">
                  <c:v>-94.488978493770688</c:v>
                </c:pt>
                <c:pt idx="14">
                  <c:v>-52.510954193789203</c:v>
                </c:pt>
                <c:pt idx="15">
                  <c:v>-15.298146172693293</c:v>
                </c:pt>
                <c:pt idx="16">
                  <c:v>18.286585988385802</c:v>
                </c:pt>
                <c:pt idx="17">
                  <c:v>48.425413793293281</c:v>
                </c:pt>
                <c:pt idx="18">
                  <c:v>73.128518922485924</c:v>
                </c:pt>
                <c:pt idx="19">
                  <c:v>93.43992157383434</c:v>
                </c:pt>
                <c:pt idx="20">
                  <c:v>111.48173827685494</c:v>
                </c:pt>
                <c:pt idx="21">
                  <c:v>127.98873673715835</c:v>
                </c:pt>
                <c:pt idx="22">
                  <c:v>142.8306871125636</c:v>
                </c:pt>
                <c:pt idx="23">
                  <c:v>155.98194926212051</c:v>
                </c:pt>
                <c:pt idx="24">
                  <c:v>167.8717247605278</c:v>
                </c:pt>
                <c:pt idx="25">
                  <c:v>178.5637575875013</c:v>
                </c:pt>
                <c:pt idx="26">
                  <c:v>188.16199924546129</c:v>
                </c:pt>
                <c:pt idx="27">
                  <c:v>196.8929308239955</c:v>
                </c:pt>
                <c:pt idx="28">
                  <c:v>204.7717068023579</c:v>
                </c:pt>
                <c:pt idx="29">
                  <c:v>211.78925430556114</c:v>
                </c:pt>
                <c:pt idx="30">
                  <c:v>218.15057013911309</c:v>
                </c:pt>
                <c:pt idx="31">
                  <c:v>223.87485000717416</c:v>
                </c:pt>
                <c:pt idx="32">
                  <c:v>229.03109177688728</c:v>
                </c:pt>
                <c:pt idx="33">
                  <c:v>233.66862722044843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CE-4DDE-9CAF-AE7E11BE9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 val="autoZero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US Dollars per kW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777858425485198"/>
          <c:y val="2.9634132235318595E-2"/>
          <c:w val="0.40429567490660523"/>
          <c:h val="6.3576862948943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98222304790589"/>
          <c:y val="0.11039686947867371"/>
          <c:w val="0.84823909244617302"/>
          <c:h val="0.65307675398919651"/>
        </c:manualLayout>
      </c:layout>
      <c:lineChart>
        <c:grouping val="standard"/>
        <c:varyColors val="0"/>
        <c:ser>
          <c:idx val="4"/>
          <c:order val="0"/>
          <c:tx>
            <c:strRef>
              <c:f>'Cost Target Evaluation'!$E$11</c:f>
              <c:strCache>
                <c:ptCount val="1"/>
                <c:pt idx="0">
                  <c:v>Biogas CCS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Evaluation'!$F$11:$AM$11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-917.25</c:v>
                </c:pt>
                <c:pt idx="9">
                  <c:v>-1108.43</c:v>
                </c:pt>
                <c:pt idx="10">
                  <c:v>-1285.81</c:v>
                </c:pt>
                <c:pt idx="11">
                  <c:v>-1452.07</c:v>
                </c:pt>
                <c:pt idx="12">
                  <c:v>-1607.64</c:v>
                </c:pt>
                <c:pt idx="13">
                  <c:v>-1720.75</c:v>
                </c:pt>
                <c:pt idx="14">
                  <c:v>-1825.46</c:v>
                </c:pt>
                <c:pt idx="15">
                  <c:v>-1922.38</c:v>
                </c:pt>
                <c:pt idx="16">
                  <c:v>-2011.23</c:v>
                </c:pt>
                <c:pt idx="17">
                  <c:v>-2093.2600000000002</c:v>
                </c:pt>
                <c:pt idx="18">
                  <c:v>-2169.48</c:v>
                </c:pt>
                <c:pt idx="19">
                  <c:v>-2207.83</c:v>
                </c:pt>
                <c:pt idx="20">
                  <c:v>-2243.59</c:v>
                </c:pt>
                <c:pt idx="21">
                  <c:v>-2276.5500000000002</c:v>
                </c:pt>
                <c:pt idx="22">
                  <c:v>-2306.7399999999998</c:v>
                </c:pt>
                <c:pt idx="23">
                  <c:v>-2334.4299999999998</c:v>
                </c:pt>
                <c:pt idx="24">
                  <c:v>-2360.11</c:v>
                </c:pt>
                <c:pt idx="25">
                  <c:v>-2383.87</c:v>
                </c:pt>
                <c:pt idx="26">
                  <c:v>-2405.64</c:v>
                </c:pt>
                <c:pt idx="27">
                  <c:v>-2425.69</c:v>
                </c:pt>
                <c:pt idx="28">
                  <c:v>-2444.16</c:v>
                </c:pt>
                <c:pt idx="29">
                  <c:v>-2461.08</c:v>
                </c:pt>
                <c:pt idx="30">
                  <c:v>-2476.4499999999998</c:v>
                </c:pt>
                <c:pt idx="31">
                  <c:v>-2490.4299999999998</c:v>
                </c:pt>
                <c:pt idx="32">
                  <c:v>-2503.1799999999998</c:v>
                </c:pt>
                <c:pt idx="33">
                  <c:v>-2514.7199999999998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A5-4A1D-B86B-5E4872DD34FC}"/>
            </c:ext>
          </c:extLst>
        </c:ser>
        <c:ser>
          <c:idx val="3"/>
          <c:order val="1"/>
          <c:tx>
            <c:strRef>
              <c:f>'Cost Target Evaluation'!$E$10</c:f>
              <c:strCache>
                <c:ptCount val="1"/>
                <c:pt idx="0">
                  <c:v>Biogas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Evaluation'!$F$10:$AM$10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-403.64</c:v>
                </c:pt>
                <c:pt idx="9">
                  <c:v>-474.92</c:v>
                </c:pt>
                <c:pt idx="10">
                  <c:v>-543.07000000000005</c:v>
                </c:pt>
                <c:pt idx="11">
                  <c:v>-609.86</c:v>
                </c:pt>
                <c:pt idx="12">
                  <c:v>-674.89</c:v>
                </c:pt>
                <c:pt idx="13">
                  <c:v>-705.62</c:v>
                </c:pt>
                <c:pt idx="14">
                  <c:v>-735.41</c:v>
                </c:pt>
                <c:pt idx="15">
                  <c:v>-764.23</c:v>
                </c:pt>
                <c:pt idx="16">
                  <c:v>-791.22</c:v>
                </c:pt>
                <c:pt idx="17">
                  <c:v>-817.1</c:v>
                </c:pt>
                <c:pt idx="18">
                  <c:v>-842.36</c:v>
                </c:pt>
                <c:pt idx="19">
                  <c:v>-867.5</c:v>
                </c:pt>
                <c:pt idx="20">
                  <c:v>-891.66</c:v>
                </c:pt>
                <c:pt idx="21">
                  <c:v>-914.49</c:v>
                </c:pt>
                <c:pt idx="22">
                  <c:v>-935.88</c:v>
                </c:pt>
                <c:pt idx="23">
                  <c:v>-955.97</c:v>
                </c:pt>
                <c:pt idx="24">
                  <c:v>-975.12</c:v>
                </c:pt>
                <c:pt idx="25">
                  <c:v>-993.34</c:v>
                </c:pt>
                <c:pt idx="26">
                  <c:v>-1010.45</c:v>
                </c:pt>
                <c:pt idx="27">
                  <c:v>-1026.6300000000001</c:v>
                </c:pt>
                <c:pt idx="28">
                  <c:v>-1041.94</c:v>
                </c:pt>
                <c:pt idx="29">
                  <c:v>-1056.3399999999999</c:v>
                </c:pt>
                <c:pt idx="30">
                  <c:v>-1069.75</c:v>
                </c:pt>
                <c:pt idx="31">
                  <c:v>-1082.29</c:v>
                </c:pt>
                <c:pt idx="32">
                  <c:v>-1094.06</c:v>
                </c:pt>
                <c:pt idx="33">
                  <c:v>-1105.02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A5-4A1D-B86B-5E4872DD34FC}"/>
            </c:ext>
          </c:extLst>
        </c:ser>
        <c:ser>
          <c:idx val="2"/>
          <c:order val="2"/>
          <c:tx>
            <c:strRef>
              <c:f>'Cost Target Evaluation'!$E$9</c:f>
              <c:strCache>
                <c:ptCount val="1"/>
                <c:pt idx="0">
                  <c:v>Shutdown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Evaluation'!$F$9:$AM$9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-373.61</c:v>
                </c:pt>
                <c:pt idx="9">
                  <c:v>-418.19</c:v>
                </c:pt>
                <c:pt idx="10">
                  <c:v>-459.09</c:v>
                </c:pt>
                <c:pt idx="11">
                  <c:v>-496.61</c:v>
                </c:pt>
                <c:pt idx="12">
                  <c:v>-531.04</c:v>
                </c:pt>
                <c:pt idx="13">
                  <c:v>-531.04</c:v>
                </c:pt>
                <c:pt idx="14">
                  <c:v>-531.04</c:v>
                </c:pt>
                <c:pt idx="15">
                  <c:v>-531.04</c:v>
                </c:pt>
                <c:pt idx="16">
                  <c:v>-531.04</c:v>
                </c:pt>
                <c:pt idx="17">
                  <c:v>-531.04</c:v>
                </c:pt>
                <c:pt idx="18">
                  <c:v>-531.04</c:v>
                </c:pt>
                <c:pt idx="19">
                  <c:v>-531.04</c:v>
                </c:pt>
                <c:pt idx="20">
                  <c:v>-531.04</c:v>
                </c:pt>
                <c:pt idx="21">
                  <c:v>-531.04</c:v>
                </c:pt>
                <c:pt idx="22">
                  <c:v>-531.04</c:v>
                </c:pt>
                <c:pt idx="23">
                  <c:v>-531.04</c:v>
                </c:pt>
                <c:pt idx="24">
                  <c:v>-531.04</c:v>
                </c:pt>
                <c:pt idx="25">
                  <c:v>-531.04</c:v>
                </c:pt>
                <c:pt idx="26">
                  <c:v>-531.04</c:v>
                </c:pt>
                <c:pt idx="27">
                  <c:v>-531.04</c:v>
                </c:pt>
                <c:pt idx="28">
                  <c:v>-531.04</c:v>
                </c:pt>
                <c:pt idx="29">
                  <c:v>-531.04</c:v>
                </c:pt>
                <c:pt idx="30">
                  <c:v>-531.04</c:v>
                </c:pt>
                <c:pt idx="31">
                  <c:v>-531.04</c:v>
                </c:pt>
                <c:pt idx="32">
                  <c:v>-531.04</c:v>
                </c:pt>
                <c:pt idx="33">
                  <c:v>-531.04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A5-4A1D-B86B-5E4872DD34FC}"/>
            </c:ext>
          </c:extLst>
        </c:ser>
        <c:ser>
          <c:idx val="1"/>
          <c:order val="3"/>
          <c:tx>
            <c:strRef>
              <c:f>'Cost Target Evaluation'!$E$8</c:f>
              <c:strCache>
                <c:ptCount val="1"/>
                <c:pt idx="0">
                  <c:v>Normal CCS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Evaluation'!$F$8:$AM$8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-803.81</c:v>
                </c:pt>
                <c:pt idx="9">
                  <c:v>-894.13</c:v>
                </c:pt>
                <c:pt idx="10">
                  <c:v>-979.9</c:v>
                </c:pt>
                <c:pt idx="11">
                  <c:v>-1063.04</c:v>
                </c:pt>
                <c:pt idx="12">
                  <c:v>-1142.58</c:v>
                </c:pt>
                <c:pt idx="13">
                  <c:v>-1186.92</c:v>
                </c:pt>
                <c:pt idx="14">
                  <c:v>-1229.52</c:v>
                </c:pt>
                <c:pt idx="15">
                  <c:v>-1271.28</c:v>
                </c:pt>
                <c:pt idx="16">
                  <c:v>-1310.97</c:v>
                </c:pt>
                <c:pt idx="17">
                  <c:v>-1349.45</c:v>
                </c:pt>
                <c:pt idx="18">
                  <c:v>-1386.62</c:v>
                </c:pt>
                <c:pt idx="19">
                  <c:v>-1389.98</c:v>
                </c:pt>
                <c:pt idx="20">
                  <c:v>-1394.91</c:v>
                </c:pt>
                <c:pt idx="21">
                  <c:v>-1400.9</c:v>
                </c:pt>
                <c:pt idx="22">
                  <c:v>-1407.56</c:v>
                </c:pt>
                <c:pt idx="23">
                  <c:v>-1414.85</c:v>
                </c:pt>
                <c:pt idx="24">
                  <c:v>-1422.79</c:v>
                </c:pt>
                <c:pt idx="25">
                  <c:v>-1431.37</c:v>
                </c:pt>
                <c:pt idx="26">
                  <c:v>-1440.2</c:v>
                </c:pt>
                <c:pt idx="27">
                  <c:v>-1449.44</c:v>
                </c:pt>
                <c:pt idx="28">
                  <c:v>-1458.94</c:v>
                </c:pt>
                <c:pt idx="29">
                  <c:v>-1468.68</c:v>
                </c:pt>
                <c:pt idx="30">
                  <c:v>-1478.46</c:v>
                </c:pt>
                <c:pt idx="31">
                  <c:v>-1488.28</c:v>
                </c:pt>
                <c:pt idx="32">
                  <c:v>-1498.14</c:v>
                </c:pt>
                <c:pt idx="33">
                  <c:v>-1508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A5-4A1D-B86B-5E4872DD34FC}"/>
            </c:ext>
          </c:extLst>
        </c:ser>
        <c:ser>
          <c:idx val="0"/>
          <c:order val="4"/>
          <c:tx>
            <c:strRef>
              <c:f>'Cost Target Evaluation'!$E$7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'Cost Target Evaluation'!$F$6:$AM$6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'Cost Target Evaluation'!$F$7:$AM$7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-296.66000000000003</c:v>
                </c:pt>
                <c:pt idx="9">
                  <c:v>-272</c:v>
                </c:pt>
                <c:pt idx="10">
                  <c:v>-251.43</c:v>
                </c:pt>
                <c:pt idx="11">
                  <c:v>-235.76</c:v>
                </c:pt>
                <c:pt idx="12">
                  <c:v>-223.79</c:v>
                </c:pt>
                <c:pt idx="13">
                  <c:v>-185.56</c:v>
                </c:pt>
                <c:pt idx="14">
                  <c:v>-151.82</c:v>
                </c:pt>
                <c:pt idx="15">
                  <c:v>-122.65</c:v>
                </c:pt>
                <c:pt idx="16">
                  <c:v>-96.78</c:v>
                </c:pt>
                <c:pt idx="17">
                  <c:v>-74.39</c:v>
                </c:pt>
                <c:pt idx="18">
                  <c:v>-57.29</c:v>
                </c:pt>
                <c:pt idx="19">
                  <c:v>-45.14</c:v>
                </c:pt>
                <c:pt idx="20">
                  <c:v>-35.229999999999997</c:v>
                </c:pt>
                <c:pt idx="21">
                  <c:v>-27.09</c:v>
                </c:pt>
                <c:pt idx="22">
                  <c:v>-20.36</c:v>
                </c:pt>
                <c:pt idx="23">
                  <c:v>-14.93</c:v>
                </c:pt>
                <c:pt idx="24">
                  <c:v>-10.78</c:v>
                </c:pt>
                <c:pt idx="25">
                  <c:v>-7.81</c:v>
                </c:pt>
                <c:pt idx="26">
                  <c:v>-5.69</c:v>
                </c:pt>
                <c:pt idx="27">
                  <c:v>-4.49</c:v>
                </c:pt>
                <c:pt idx="28">
                  <c:v>-4.05</c:v>
                </c:pt>
                <c:pt idx="29">
                  <c:v>-4.37</c:v>
                </c:pt>
                <c:pt idx="30">
                  <c:v>-5.37</c:v>
                </c:pt>
                <c:pt idx="31">
                  <c:v>-6.98</c:v>
                </c:pt>
                <c:pt idx="32">
                  <c:v>-9.1999999999999993</c:v>
                </c:pt>
                <c:pt idx="33">
                  <c:v>-11.89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A5-4A1D-B86B-5E4872DD3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 val="autoZero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2.7527731878210296E-2"/>
              <c:y val="0.19663635078366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0664605335397"/>
          <c:y val="2.5814640455197973E-2"/>
          <c:w val="0.83015019732854856"/>
          <c:h val="6.66085663739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rgbClr val="C00000"/>
                </a:solidFill>
              </a:rPr>
              <a:t>Cost target for</a:t>
            </a:r>
            <a:r>
              <a:rPr lang="en-US" sz="2400" b="1" baseline="0">
                <a:solidFill>
                  <a:srgbClr val="C00000"/>
                </a:solidFill>
              </a:rPr>
              <a:t> BECCS addition to NGCC power plant</a:t>
            </a:r>
            <a:endParaRPr lang="en-US" sz="2400" b="1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5100182353364542"/>
          <c:y val="4.3004114529598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areaChart>
        <c:grouping val="standard"/>
        <c:varyColors val="0"/>
        <c:ser>
          <c:idx val="0"/>
          <c:order val="0"/>
          <c:tx>
            <c:v>Cost Target</c:v>
          </c:tx>
          <c:spPr>
            <a:solidFill>
              <a:srgbClr val="C00000"/>
            </a:solidFill>
            <a:ln w="25400">
              <a:noFill/>
            </a:ln>
            <a:effectLst/>
          </c:spPr>
          <c:cat>
            <c:numRef>
              <c:f>'Cost Target Evaluation'!$H$49:$R$49</c:f>
              <c:numCache>
                <c:formatCode>General</c:formatCode>
                <c:ptCount val="1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'Cost Target Evaluation'!$H$41:$R$41</c:f>
              <c:numCache>
                <c:formatCode>0</c:formatCode>
                <c:ptCount val="11"/>
                <c:pt idx="0">
                  <c:v>4357.9864297418353</c:v>
                </c:pt>
                <c:pt idx="1">
                  <c:v>3865.2556158847115</c:v>
                </c:pt>
                <c:pt idx="2">
                  <c:v>3372.4826091664704</c:v>
                </c:pt>
                <c:pt idx="3">
                  <c:v>2878.6931374061314</c:v>
                </c:pt>
                <c:pt idx="4">
                  <c:v>2384.0614565813644</c:v>
                </c:pt>
                <c:pt idx="5">
                  <c:v>1887.7280015448214</c:v>
                </c:pt>
                <c:pt idx="6">
                  <c:v>1388.2929923440674</c:v>
                </c:pt>
                <c:pt idx="7">
                  <c:v>873.59810647652273</c:v>
                </c:pt>
                <c:pt idx="8">
                  <c:v>351.71127412585747</c:v>
                </c:pt>
                <c:pt idx="9">
                  <c:v>-170.17555822480767</c:v>
                </c:pt>
                <c:pt idx="10">
                  <c:v>-692.06239057547396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4D-4464-AEB8-8026E5B70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143808"/>
        <c:axId val="1041135488"/>
      </c:area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3676216946027396"/>
              <c:y val="0.891641750240728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6.7255642919612071E-2"/>
              <c:y val="0.238163487279033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3.5735005366645763E-2"/>
          <c:w val="0.84823909244617302"/>
          <c:h val="0.7831419792435127"/>
        </c:manualLayout>
      </c:layout>
      <c:lineChart>
        <c:grouping val="standard"/>
        <c:varyColors val="0"/>
        <c:ser>
          <c:idx val="6"/>
          <c:order val="0"/>
          <c:tx>
            <c:strRef>
              <c:f>'Figures in Paper'!$B$73</c:f>
              <c:strCache>
                <c:ptCount val="1"/>
                <c:pt idx="0">
                  <c:v>NPV=0</c:v>
                </c:pt>
              </c:strCache>
            </c:strRef>
          </c:tx>
          <c:spPr>
            <a:ln w="28575">
              <a:solidFill>
                <a:schemeClr val="bg2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Paper'!$C$73:$AJ$73</c:f>
              <c:numCache>
                <c:formatCode>"$"#,##0.00_);\("$"#,##0.00\)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D-40EC-A434-3A75C688CEED}"/>
            </c:ext>
          </c:extLst>
        </c:ser>
        <c:ser>
          <c:idx val="3"/>
          <c:order val="1"/>
          <c:tx>
            <c:strRef>
              <c:f>'Figures in Paper'!$B$68</c:f>
              <c:strCache>
                <c:ptCount val="1"/>
                <c:pt idx="0">
                  <c:v>Normal operation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Paper'!$C$68:$AJ$68</c:f>
              <c:numCache>
                <c:formatCode>General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-515.46</c:v>
                </c:pt>
                <c:pt idx="4">
                  <c:v>-440.72</c:v>
                </c:pt>
                <c:pt idx="5">
                  <c:v>-376.78</c:v>
                </c:pt>
                <c:pt idx="6">
                  <c:v>-323.35000000000002</c:v>
                </c:pt>
                <c:pt idx="7">
                  <c:v>-278.14999999999998</c:v>
                </c:pt>
                <c:pt idx="8">
                  <c:v>-241.26</c:v>
                </c:pt>
                <c:pt idx="9">
                  <c:v>-210.14</c:v>
                </c:pt>
                <c:pt idx="10">
                  <c:v>-183.12</c:v>
                </c:pt>
                <c:pt idx="11">
                  <c:v>-160.59</c:v>
                </c:pt>
                <c:pt idx="12" formatCode="&quot;$&quot;#,##0.00_);\(&quot;$&quot;#,##0.00\)">
                  <c:v>-141.28</c:v>
                </c:pt>
                <c:pt idx="13" formatCode="&quot;$&quot;#,##0.00_);\(&quot;$&quot;#,##0.00\)">
                  <c:v>-94.49</c:v>
                </c:pt>
                <c:pt idx="14" formatCode="&quot;$&quot;#,##0.00_);\(&quot;$&quot;#,##0.00\)">
                  <c:v>-52.51</c:v>
                </c:pt>
                <c:pt idx="15" formatCode="&quot;$&quot;#,##0.00_);\(&quot;$&quot;#,##0.00\)">
                  <c:v>-15.3</c:v>
                </c:pt>
                <c:pt idx="16" formatCode="&quot;$&quot;#,##0.00_);\(&quot;$&quot;#,##0.00\)">
                  <c:v>18.29</c:v>
                </c:pt>
                <c:pt idx="17" formatCode="&quot;$&quot;#,##0.00_);\(&quot;$&quot;#,##0.00\)">
                  <c:v>48.43</c:v>
                </c:pt>
                <c:pt idx="18" formatCode="&quot;$&quot;#,##0.00_);\(&quot;$&quot;#,##0.00\)">
                  <c:v>73.13</c:v>
                </c:pt>
                <c:pt idx="19" formatCode="&quot;$&quot;#,##0.00_);\(&quot;$&quot;#,##0.00\)">
                  <c:v>93.44</c:v>
                </c:pt>
                <c:pt idx="20" formatCode="&quot;$&quot;#,##0.00_);\(&quot;$&quot;#,##0.00\)">
                  <c:v>111.48</c:v>
                </c:pt>
                <c:pt idx="21" formatCode="&quot;$&quot;#,##0.00_);\(&quot;$&quot;#,##0.00\)">
                  <c:v>127.99</c:v>
                </c:pt>
                <c:pt idx="22" formatCode="&quot;$&quot;#,##0.00_);\(&quot;$&quot;#,##0.00\)">
                  <c:v>142.83000000000001</c:v>
                </c:pt>
                <c:pt idx="23" formatCode="&quot;$&quot;#,##0.00_);\(&quot;$&quot;#,##0.00\)">
                  <c:v>155.97999999999999</c:v>
                </c:pt>
                <c:pt idx="24" formatCode="&quot;$&quot;#,##0.00_);\(&quot;$&quot;#,##0.00\)">
                  <c:v>167.87</c:v>
                </c:pt>
                <c:pt idx="25" formatCode="&quot;$&quot;#,##0.00_);\(&quot;$&quot;#,##0.00\)">
                  <c:v>178.56</c:v>
                </c:pt>
                <c:pt idx="26" formatCode="&quot;$&quot;#,##0.00_);\(&quot;$&quot;#,##0.00\)">
                  <c:v>188.16</c:v>
                </c:pt>
                <c:pt idx="27" formatCode="&quot;$&quot;#,##0.00_);\(&quot;$&quot;#,##0.00\)">
                  <c:v>196.89</c:v>
                </c:pt>
                <c:pt idx="28" formatCode="&quot;$&quot;#,##0.00_);\(&quot;$&quot;#,##0.00\)">
                  <c:v>204.77</c:v>
                </c:pt>
                <c:pt idx="29" formatCode="&quot;$&quot;#,##0.00_);\(&quot;$&quot;#,##0.00\)">
                  <c:v>211.79</c:v>
                </c:pt>
                <c:pt idx="30" formatCode="&quot;$&quot;#,##0.00_);\(&quot;$&quot;#,##0.00\)">
                  <c:v>218.15</c:v>
                </c:pt>
                <c:pt idx="31" formatCode="&quot;$&quot;#,##0.00_);\(&quot;$&quot;#,##0.00\)">
                  <c:v>223.87</c:v>
                </c:pt>
                <c:pt idx="32" formatCode="&quot;$&quot;#,##0.00_);\(&quot;$&quot;#,##0.00\)">
                  <c:v>229.03</c:v>
                </c:pt>
                <c:pt idx="33" formatCode="&quot;$&quot;#,##0.00_);\(&quot;$&quot;#,##0.00\)">
                  <c:v>233.67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4C-4EC1-8FC6-1C6B1201E829}"/>
            </c:ext>
          </c:extLst>
        </c:ser>
        <c:ser>
          <c:idx val="0"/>
          <c:order val="2"/>
          <c:tx>
            <c:strRef>
              <c:f>'Figures in Paper'!$B$69</c:f>
              <c:strCache>
                <c:ptCount val="1"/>
                <c:pt idx="0">
                  <c:v>Biomethane = $3 per mmBTU</c:v>
                </c:pt>
              </c:strCache>
            </c:strRef>
          </c:tx>
          <c:spPr>
            <a:ln w="19050">
              <a:solidFill>
                <a:schemeClr val="accent6"/>
              </a:solidFill>
              <a:prstDash val="sys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Paper'!$C$69:$AJ$69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-234.67057810625872</c:v>
                </c:pt>
                <c:pt idx="9">
                  <c:v>-194.3767681615746</c:v>
                </c:pt>
                <c:pt idx="10">
                  <c:v>-157.12110762373385</c:v>
                </c:pt>
                <c:pt idx="11">
                  <c:v>-124.38964526581769</c:v>
                </c:pt>
                <c:pt idx="12">
                  <c:v>-95.84829885655212</c:v>
                </c:pt>
                <c:pt idx="13">
                  <c:v>-41.33024101366285</c:v>
                </c:pt>
                <c:pt idx="14">
                  <c:v>7.4106117697941087</c:v>
                </c:pt>
                <c:pt idx="15">
                  <c:v>51.053232114541231</c:v>
                </c:pt>
                <c:pt idx="16">
                  <c:v>91.0850870736312</c:v>
                </c:pt>
                <c:pt idx="17">
                  <c:v>127.54305479708836</c:v>
                </c:pt>
                <c:pt idx="18">
                  <c:v>158.0071109642528</c:v>
                </c:pt>
                <c:pt idx="19">
                  <c:v>183.58503578727391</c:v>
                </c:pt>
                <c:pt idx="20">
                  <c:v>206.68274164600703</c:v>
                </c:pt>
                <c:pt idx="21">
                  <c:v>227.94072938103793</c:v>
                </c:pt>
                <c:pt idx="22">
                  <c:v>247.16991290905256</c:v>
                </c:pt>
                <c:pt idx="23">
                  <c:v>264.37367835390654</c:v>
                </c:pt>
                <c:pt idx="24">
                  <c:v>279.96517607041369</c:v>
                </c:pt>
                <c:pt idx="25">
                  <c:v>294.08843685911887</c:v>
                </c:pt>
                <c:pt idx="26">
                  <c:v>306.86840075139401</c:v>
                </c:pt>
                <c:pt idx="27">
                  <c:v>318.57139303794742</c:v>
                </c:pt>
                <c:pt idx="28">
                  <c:v>329.21471294288506</c:v>
                </c:pt>
                <c:pt idx="29">
                  <c:v>338.88339641452779</c:v>
                </c:pt>
                <c:pt idx="30">
                  <c:v>347.81101627050691</c:v>
                </c:pt>
                <c:pt idx="31">
                  <c:v>355.97117025508425</c:v>
                </c:pt>
                <c:pt idx="32">
                  <c:v>363.40959989825274</c:v>
                </c:pt>
                <c:pt idx="33">
                  <c:v>370.24830417708057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4C-4EC1-8FC6-1C6B1201E829}"/>
            </c:ext>
          </c:extLst>
        </c:ser>
        <c:ser>
          <c:idx val="1"/>
          <c:order val="4"/>
          <c:tx>
            <c:strRef>
              <c:f>'Figures in Paper'!$B$72</c:f>
              <c:strCache>
                <c:ptCount val="1"/>
                <c:pt idx="0">
                  <c:v>Biomethane = $5 per mmBTU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'Figures in Paper'!$C$72:$AJ$72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-266.32090020407441</c:v>
                </c:pt>
                <c:pt idx="9">
                  <c:v>-255.06408300967988</c:v>
                </c:pt>
                <c:pt idx="10">
                  <c:v>-244.44786536201309</c:v>
                </c:pt>
                <c:pt idx="11">
                  <c:v>-236.15625886664185</c:v>
                </c:pt>
                <c:pt idx="12">
                  <c:v>-230.03679856980278</c:v>
                </c:pt>
                <c:pt idx="13">
                  <c:v>-196.08927844473601</c:v>
                </c:pt>
                <c:pt idx="14">
                  <c:v>-166.22047861340977</c:v>
                </c:pt>
                <c:pt idx="15">
                  <c:v>-139.89166831648899</c:v>
                </c:pt>
                <c:pt idx="16">
                  <c:v>-115.74404275907456</c:v>
                </c:pt>
                <c:pt idx="17">
                  <c:v>-93.858762560090369</c:v>
                </c:pt>
                <c:pt idx="18">
                  <c:v>-76.7641444887727</c:v>
                </c:pt>
                <c:pt idx="19">
                  <c:v>-63.451759203225677</c:v>
                </c:pt>
                <c:pt idx="20">
                  <c:v>-51.60684191098256</c:v>
                </c:pt>
                <c:pt idx="21">
                  <c:v>-40.67251341126358</c:v>
                </c:pt>
                <c:pt idx="22">
                  <c:v>-30.914576888122262</c:v>
                </c:pt>
                <c:pt idx="23">
                  <c:v>-22.400028878931849</c:v>
                </c:pt>
                <c:pt idx="24">
                  <c:v>-14.780290277712389</c:v>
                </c:pt>
                <c:pt idx="25">
                  <c:v>-7.9705699617482431</c:v>
                </c:pt>
                <c:pt idx="26">
                  <c:v>-1.9002762279510783</c:v>
                </c:pt>
                <c:pt idx="27">
                  <c:v>3.6470553627509759</c:v>
                </c:pt>
                <c:pt idx="28">
                  <c:v>8.6429801338800054</c:v>
                </c:pt>
                <c:pt idx="29">
                  <c:v>13.130567152487341</c:v>
                </c:pt>
                <c:pt idx="30">
                  <c:v>17.30488751026882</c:v>
                </c:pt>
                <c:pt idx="31">
                  <c:v>21.104216267141929</c:v>
                </c:pt>
                <c:pt idx="32">
                  <c:v>24.54188882067352</c:v>
                </c:pt>
                <c:pt idx="33">
                  <c:v>27.710173751210611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25-4B41-9985-F8D10CFF2E0C}"/>
            </c:ext>
          </c:extLst>
        </c:ser>
        <c:ser>
          <c:idx val="5"/>
          <c:order val="5"/>
          <c:tx>
            <c:strRef>
              <c:f>'Figures in Paper'!$B$71</c:f>
              <c:strCache>
                <c:ptCount val="1"/>
                <c:pt idx="0">
                  <c:v>Biomethane = $10 per mmBTU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Paper'!$C$71:$AJ$71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-370.95734926466628</c:v>
                </c:pt>
                <c:pt idx="9">
                  <c:v>-454.85858128168923</c:v>
                </c:pt>
                <c:pt idx="10">
                  <c:v>-531.44341013857911</c:v>
                </c:pt>
                <c:pt idx="11">
                  <c:v>-603.67144515250789</c:v>
                </c:pt>
                <c:pt idx="12">
                  <c:v>-671.92140067219532</c:v>
                </c:pt>
                <c:pt idx="13">
                  <c:v>-704.30566425062875</c:v>
                </c:pt>
                <c:pt idx="14">
                  <c:v>-735.71922190192936</c:v>
                </c:pt>
                <c:pt idx="15">
                  <c:v>-765.99678309854596</c:v>
                </c:pt>
                <c:pt idx="16">
                  <c:v>-793.77253920469479</c:v>
                </c:pt>
                <c:pt idx="17">
                  <c:v>-819.62688332311745</c:v>
                </c:pt>
                <c:pt idx="18">
                  <c:v>-844.47816729711508</c:v>
                </c:pt>
                <c:pt idx="19">
                  <c:v>-867.83141569299426</c:v>
                </c:pt>
                <c:pt idx="20">
                  <c:v>-889.75208073200076</c:v>
                </c:pt>
                <c:pt idx="21">
                  <c:v>-909.772026342446</c:v>
                </c:pt>
                <c:pt idx="22">
                  <c:v>-928.50712861571924</c:v>
                </c:pt>
                <c:pt idx="23">
                  <c:v>-946.28437704097973</c:v>
                </c:pt>
                <c:pt idx="24">
                  <c:v>-962.85188604097948</c:v>
                </c:pt>
                <c:pt idx="25">
                  <c:v>-978.294861634369</c:v>
                </c:pt>
                <c:pt idx="26">
                  <c:v>-992.70116266047637</c:v>
                </c:pt>
                <c:pt idx="27">
                  <c:v>-1005.9472193885065</c:v>
                </c:pt>
                <c:pt idx="28">
                  <c:v>-1018.2252315868813</c:v>
                </c:pt>
                <c:pt idx="29">
                  <c:v>-1029.618440354016</c:v>
                </c:pt>
                <c:pt idx="30">
                  <c:v>-1039.9938486820276</c:v>
                </c:pt>
                <c:pt idx="31">
                  <c:v>-1049.5533834227915</c:v>
                </c:pt>
                <c:pt idx="32">
                  <c:v>-1058.3881346617695</c:v>
                </c:pt>
                <c:pt idx="33">
                  <c:v>-1066.473953558391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7-486D-9D77-A5F4ADFB1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'Figures in Paper'!$B$70</c15:sqref>
                        </c15:formulaRef>
                      </c:ext>
                    </c:extLst>
                    <c:strCache>
                      <c:ptCount val="1"/>
                      <c:pt idx="0">
                        <c:v>Biomethane = $4 per mmBTU</c:v>
                      </c:pt>
                    </c:strCache>
                  </c:strRef>
                </c:tx>
                <c:spPr>
                  <a:ln w="28575">
                    <a:solidFill>
                      <a:srgbClr val="00B0F0"/>
                    </a:solidFill>
                    <a:prstDash val="sysDot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'Figures in Paper'!$C$67:$AJ$67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2017</c:v>
                      </c:pt>
                      <c:pt idx="1">
                        <c:v>2018</c:v>
                      </c:pt>
                      <c:pt idx="2">
                        <c:v>2019</c:v>
                      </c:pt>
                      <c:pt idx="3">
                        <c:v>2020</c:v>
                      </c:pt>
                      <c:pt idx="4">
                        <c:v>2021</c:v>
                      </c:pt>
                      <c:pt idx="5">
                        <c:v>2022</c:v>
                      </c:pt>
                      <c:pt idx="6">
                        <c:v>2023</c:v>
                      </c:pt>
                      <c:pt idx="7">
                        <c:v>2024</c:v>
                      </c:pt>
                      <c:pt idx="8">
                        <c:v>2025</c:v>
                      </c:pt>
                      <c:pt idx="9">
                        <c:v>2026</c:v>
                      </c:pt>
                      <c:pt idx="10">
                        <c:v>2027</c:v>
                      </c:pt>
                      <c:pt idx="11">
                        <c:v>2028</c:v>
                      </c:pt>
                      <c:pt idx="12">
                        <c:v>2029</c:v>
                      </c:pt>
                      <c:pt idx="13">
                        <c:v>2030</c:v>
                      </c:pt>
                      <c:pt idx="14">
                        <c:v>2031</c:v>
                      </c:pt>
                      <c:pt idx="15">
                        <c:v>2032</c:v>
                      </c:pt>
                      <c:pt idx="16">
                        <c:v>2033</c:v>
                      </c:pt>
                      <c:pt idx="17">
                        <c:v>2034</c:v>
                      </c:pt>
                      <c:pt idx="18">
                        <c:v>2035</c:v>
                      </c:pt>
                      <c:pt idx="19">
                        <c:v>2036</c:v>
                      </c:pt>
                      <c:pt idx="20">
                        <c:v>2037</c:v>
                      </c:pt>
                      <c:pt idx="21">
                        <c:v>2038</c:v>
                      </c:pt>
                      <c:pt idx="22">
                        <c:v>2039</c:v>
                      </c:pt>
                      <c:pt idx="23">
                        <c:v>2040</c:v>
                      </c:pt>
                      <c:pt idx="24">
                        <c:v>2041</c:v>
                      </c:pt>
                      <c:pt idx="25">
                        <c:v>2042</c:v>
                      </c:pt>
                      <c:pt idx="26">
                        <c:v>2043</c:v>
                      </c:pt>
                      <c:pt idx="27">
                        <c:v>2044</c:v>
                      </c:pt>
                      <c:pt idx="28">
                        <c:v>2045</c:v>
                      </c:pt>
                      <c:pt idx="29">
                        <c:v>2046</c:v>
                      </c:pt>
                      <c:pt idx="30">
                        <c:v>2047</c:v>
                      </c:pt>
                      <c:pt idx="31">
                        <c:v>2048</c:v>
                      </c:pt>
                      <c:pt idx="32">
                        <c:v>2049</c:v>
                      </c:pt>
                      <c:pt idx="3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'Figures in Paper'!$C$70:$AJ$70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7">
                        <c:v>-278.14844133841052</c:v>
                      </c:pt>
                      <c:pt idx="8">
                        <c:v>-250.49573915516655</c:v>
                      </c:pt>
                      <c:pt idx="9">
                        <c:v>-224.72042558562723</c:v>
                      </c:pt>
                      <c:pt idx="10">
                        <c:v>-200.78448649287344</c:v>
                      </c:pt>
                      <c:pt idx="11">
                        <c:v>-180.27295206622972</c:v>
                      </c:pt>
                      <c:pt idx="12">
                        <c:v>-162.94254871317742</c:v>
                      </c:pt>
                      <c:pt idx="13">
                        <c:v>-118.70975972919939</c:v>
                      </c:pt>
                      <c:pt idx="14">
                        <c:v>-79.404933421807797</c:v>
                      </c:pt>
                      <c:pt idx="15">
                        <c:v>-44.419218100973843</c:v>
                      </c:pt>
                      <c:pt idx="16">
                        <c:v>-12.329477842721644</c:v>
                      </c:pt>
                      <c:pt idx="17">
                        <c:v>16.842146118499031</c:v>
                      </c:pt>
                      <c:pt idx="18">
                        <c:v>40.621483237740087</c:v>
                      </c:pt>
                      <c:pt idx="19">
                        <c:v>60.066638292024166</c:v>
                      </c:pt>
                      <c:pt idx="20">
                        <c:v>77.537949867512282</c:v>
                      </c:pt>
                      <c:pt idx="21">
                        <c:v>93.634107984887223</c:v>
                      </c:pt>
                      <c:pt idx="22">
                        <c:v>108.12766801046521</c:v>
                      </c:pt>
                      <c:pt idx="23">
                        <c:v>120.98682473748742</c:v>
                      </c:pt>
                      <c:pt idx="24">
                        <c:v>132.59244289635075</c:v>
                      </c:pt>
                      <c:pt idx="25">
                        <c:v>143.05893344868539</c:v>
                      </c:pt>
                      <c:pt idx="26">
                        <c:v>152.48406226172156</c:v>
                      </c:pt>
                      <c:pt idx="27">
                        <c:v>161.1092242003493</c:v>
                      </c:pt>
                      <c:pt idx="28">
                        <c:v>168.92884653838263</c:v>
                      </c:pt>
                      <c:pt idx="29">
                        <c:v>176.00698178350768</c:v>
                      </c:pt>
                      <c:pt idx="30">
                        <c:v>182.55795189038798</c:v>
                      </c:pt>
                      <c:pt idx="31">
                        <c:v>188.53769326111322</c:v>
                      </c:pt>
                      <c:pt idx="32">
                        <c:v>193.97574435946328</c:v>
                      </c:pt>
                      <c:pt idx="33">
                        <c:v>198.97923896414574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DA4C-4EC1-8FC6-1C6B1201E829}"/>
                  </c:ext>
                </c:extLst>
              </c15:ser>
            </c15:filteredLineSeries>
          </c:ext>
        </c:extLst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NGCC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12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8794960216633994"/>
          <c:y val="1.8481004989544726E-2"/>
          <c:w val="0.81205039783366006"/>
          <c:h val="6.16226764444452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5519512297433"/>
          <c:y val="4.2257508672371755E-2"/>
          <c:w val="0.82434951277604041"/>
          <c:h val="0.82022751209820144"/>
        </c:manualLayout>
      </c:layout>
      <c:lineChart>
        <c:grouping val="standard"/>
        <c:varyColors val="0"/>
        <c:ser>
          <c:idx val="3"/>
          <c:order val="0"/>
          <c:tx>
            <c:v>No GHG Low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0-4DFA-82D4-72B7005E9808}"/>
            </c:ext>
          </c:extLst>
        </c:ser>
        <c:ser>
          <c:idx val="4"/>
          <c:order val="1"/>
          <c:tx>
            <c:v>No GHG High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0-4DFA-82D4-72B7005E9808}"/>
            </c:ext>
          </c:extLst>
        </c:ser>
        <c:ser>
          <c:idx val="1"/>
          <c:order val="2"/>
          <c:tx>
            <c:strRef>
              <c:f>'Figures in Paper'!#REF!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832-4C72-954F-655178AC5F3E}"/>
            </c:ext>
          </c:extLst>
        </c:ser>
        <c:ser>
          <c:idx val="7"/>
          <c:order val="3"/>
          <c:tx>
            <c:v>GHG High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00-4DFA-82D4-72B7005E9808}"/>
            </c:ext>
          </c:extLst>
        </c:ser>
        <c:ser>
          <c:idx val="0"/>
          <c:order val="4"/>
          <c:tx>
            <c:strRef>
              <c:f>'Figures in Paper'!#REF!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832-4C72-954F-655178AC5F3E}"/>
            </c:ext>
          </c:extLst>
        </c:ser>
        <c:ser>
          <c:idx val="8"/>
          <c:order val="5"/>
          <c:tx>
            <c:v>GHG Low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00-4DFA-82D4-72B7005E9808}"/>
            </c:ext>
          </c:extLst>
        </c:ser>
        <c:ser>
          <c:idx val="2"/>
          <c:order val="6"/>
          <c:tx>
            <c:v>EIA $25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B00-4DFA-82D4-72B7005E9808}"/>
            </c:ext>
          </c:extLst>
        </c:ser>
        <c:ser>
          <c:idx val="5"/>
          <c:order val="7"/>
          <c:tx>
            <c:v>EIA High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B00-4DFA-82D4-72B7005E9808}"/>
            </c:ext>
          </c:extLst>
        </c:ser>
        <c:ser>
          <c:idx val="6"/>
          <c:order val="8"/>
          <c:tx>
            <c:v>EIA Low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00-4DFA-82D4-72B7005E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483776"/>
        <c:axId val="1749484192"/>
      </c:lineChart>
      <c:catAx>
        <c:axId val="174948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Maximum Allowable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Cost of Fuel ($ per mmBTU)</a:t>
                </a:r>
              </a:p>
            </c:rich>
          </c:tx>
          <c:layout>
            <c:manualLayout>
              <c:xMode val="edge"/>
              <c:yMode val="edge"/>
              <c:x val="0.3004045925977315"/>
              <c:y val="0.94362567616583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4192"/>
        <c:crosses val="autoZero"/>
        <c:auto val="1"/>
        <c:lblAlgn val="ctr"/>
        <c:lblOffset val="100"/>
        <c:noMultiLvlLbl val="0"/>
      </c:catAx>
      <c:valAx>
        <c:axId val="1749484192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 CCS Capital Cost ($ per kW)</a:t>
                </a:r>
              </a:p>
            </c:rich>
          </c:tx>
          <c:layout>
            <c:manualLayout>
              <c:xMode val="edge"/>
              <c:yMode val="edge"/>
              <c:x val="2.9264303243945019E-2"/>
              <c:y val="6.69215181591627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51014901576804539"/>
          <c:y val="0.14668859654104699"/>
          <c:w val="0.42049729152160864"/>
          <c:h val="0.22067409374566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5519512297433"/>
          <c:y val="4.2257508672371755E-2"/>
          <c:w val="0.82434951277604041"/>
          <c:h val="0.82022751209820144"/>
        </c:manualLayout>
      </c:layout>
      <c:areaChart>
        <c:grouping val="standard"/>
        <c:varyColors val="0"/>
        <c:ser>
          <c:idx val="1"/>
          <c:order val="0"/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9FE-4F6E-83EE-10B29D0290BD}"/>
            </c:ext>
          </c:extLst>
        </c:ser>
        <c:ser>
          <c:idx val="2"/>
          <c:order val="1"/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9FE-4F6E-83EE-10B29D0290BD}"/>
            </c:ext>
          </c:extLst>
        </c:ser>
        <c:ser>
          <c:idx val="0"/>
          <c:order val="2"/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9FE-4F6E-83EE-10B29D029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483776"/>
        <c:axId val="1749484192"/>
      </c:areaChart>
      <c:catAx>
        <c:axId val="174948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Cost of Biomethane ($ per mmBTU)</a:t>
                </a:r>
              </a:p>
            </c:rich>
          </c:tx>
          <c:layout>
            <c:manualLayout>
              <c:xMode val="edge"/>
              <c:yMode val="edge"/>
              <c:x val="0.3004045925977315"/>
              <c:y val="0.94362567616583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4192"/>
        <c:crosses val="autoZero"/>
        <c:auto val="1"/>
        <c:lblAlgn val="ctr"/>
        <c:lblOffset val="100"/>
        <c:tickMarkSkip val="1"/>
        <c:noMultiLvlLbl val="0"/>
      </c:catAx>
      <c:valAx>
        <c:axId val="174948419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 CCS Capital Cost ($ per kW)</a:t>
                </a:r>
              </a:p>
            </c:rich>
          </c:tx>
          <c:layout>
            <c:manualLayout>
              <c:xMode val="edge"/>
              <c:yMode val="edge"/>
              <c:x val="2.9264303243945019E-2"/>
              <c:y val="6.69215181591627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811173202873308"/>
          <c:y val="0.12144387322775795"/>
          <c:w val="0.33338278924067316"/>
          <c:h val="0.26023166143983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1608585124291648"/>
          <c:w val="0.85025227932962433"/>
          <c:h val="0.70568393228606952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Paper'!$B$8</c:f>
              <c:strCache>
                <c:ptCount val="1"/>
                <c:pt idx="0">
                  <c:v>NPV = 0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Paper'!$C$8:$AJ$8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7B-47F0-AF30-F6A806B428EE}"/>
            </c:ext>
          </c:extLst>
        </c:ser>
        <c:ser>
          <c:idx val="2"/>
          <c:order val="1"/>
          <c:tx>
            <c:strRef>
              <c:f>'Figures in Paper'!$B$4</c:f>
              <c:strCache>
                <c:ptCount val="1"/>
                <c:pt idx="0">
                  <c:v>Constant High Capacity Factor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Paper'!$C$4:$AJ$4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-446.03632463264779</c:v>
                </c:pt>
                <c:pt idx="4">
                  <c:v>-310.31713295132101</c:v>
                </c:pt>
                <c:pt idx="5">
                  <c:v>-191.68858505448841</c:v>
                </c:pt>
                <c:pt idx="6">
                  <c:v>-89.836893199514805</c:v>
                </c:pt>
                <c:pt idx="7">
                  <c:v>-1.4133825293401401</c:v>
                </c:pt>
                <c:pt idx="8">
                  <c:v>73.432710325071724</c:v>
                </c:pt>
                <c:pt idx="9">
                  <c:v>138.26018487977734</c:v>
                </c:pt>
                <c:pt idx="10">
                  <c:v>195.45131227545852</c:v>
                </c:pt>
                <c:pt idx="11">
                  <c:v>244.50954790426462</c:v>
                </c:pt>
                <c:pt idx="12">
                  <c:v>287.47937036172021</c:v>
                </c:pt>
                <c:pt idx="13">
                  <c:v>355.85923759926686</c:v>
                </c:pt>
                <c:pt idx="14">
                  <c:v>417.1699279444224</c:v>
                </c:pt>
                <c:pt idx="15">
                  <c:v>471.46434484289568</c:v>
                </c:pt>
                <c:pt idx="16">
                  <c:v>520.44557392624517</c:v>
                </c:pt>
                <c:pt idx="17">
                  <c:v>564.36831608659281</c:v>
                </c:pt>
                <c:pt idx="18">
                  <c:v>601.31508405636316</c:v>
                </c:pt>
                <c:pt idx="19">
                  <c:v>632.66284970990546</c:v>
                </c:pt>
                <c:pt idx="20">
                  <c:v>660.53299982075248</c:v>
                </c:pt>
                <c:pt idx="21">
                  <c:v>686.0339926788248</c:v>
                </c:pt>
                <c:pt idx="22">
                  <c:v>708.9762052639378</c:v>
                </c:pt>
                <c:pt idx="23">
                  <c:v>729.32623359393335</c:v>
                </c:pt>
                <c:pt idx="24">
                  <c:v>747.73261803102901</c:v>
                </c:pt>
                <c:pt idx="25">
                  <c:v>764.29510037415241</c:v>
                </c:pt>
                <c:pt idx="26">
                  <c:v>779.17351552776927</c:v>
                </c:pt>
                <c:pt idx="27">
                  <c:v>792.71112224639978</c:v>
                </c:pt>
                <c:pt idx="28">
                  <c:v>804.93397733552354</c:v>
                </c:pt>
                <c:pt idx="29">
                  <c:v>815.83130773903849</c:v>
                </c:pt>
                <c:pt idx="30">
                  <c:v>825.71334506634389</c:v>
                </c:pt>
                <c:pt idx="31">
                  <c:v>834.6115603438692</c:v>
                </c:pt>
                <c:pt idx="32">
                  <c:v>842.63186356547726</c:v>
                </c:pt>
                <c:pt idx="33">
                  <c:v>849.85024771581902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B-4FDF-BF4F-AD1415FC36E2}"/>
            </c:ext>
          </c:extLst>
        </c:ser>
        <c:ser>
          <c:idx val="5"/>
          <c:order val="2"/>
          <c:tx>
            <c:strRef>
              <c:f>'Figures in Paper'!$B$5</c:f>
              <c:strCache>
                <c:ptCount val="1"/>
                <c:pt idx="0">
                  <c:v>Constant Average Capacity Factor (Baseline)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Paper'!$C$5:$AJ$5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-440.71777138415109</c:v>
                </c:pt>
                <c:pt idx="5">
                  <c:v>-376.77778989426838</c:v>
                </c:pt>
                <c:pt idx="6">
                  <c:v>-323.34677560872694</c:v>
                </c:pt>
                <c:pt idx="7">
                  <c:v>-278.14844133841052</c:v>
                </c:pt>
                <c:pt idx="8">
                  <c:v>-241.25920983219993</c:v>
                </c:pt>
                <c:pt idx="9">
                  <c:v>-210.14307863061072</c:v>
                </c:pt>
                <c:pt idx="10">
                  <c:v>-183.11577870738813</c:v>
                </c:pt>
                <c:pt idx="11">
                  <c:v>-160.5882005706431</c:v>
                </c:pt>
                <c:pt idx="12">
                  <c:v>-141.28342682501801</c:v>
                </c:pt>
                <c:pt idx="13">
                  <c:v>-94.488978493770688</c:v>
                </c:pt>
                <c:pt idx="14">
                  <c:v>-52.510954193789203</c:v>
                </c:pt>
                <c:pt idx="15">
                  <c:v>-15.298146172693293</c:v>
                </c:pt>
                <c:pt idx="16">
                  <c:v>18.286585988385802</c:v>
                </c:pt>
                <c:pt idx="17">
                  <c:v>48.425413793293281</c:v>
                </c:pt>
                <c:pt idx="18">
                  <c:v>73.128518922485924</c:v>
                </c:pt>
                <c:pt idx="19">
                  <c:v>93.43992157383434</c:v>
                </c:pt>
                <c:pt idx="20">
                  <c:v>111.48173827685494</c:v>
                </c:pt>
                <c:pt idx="21">
                  <c:v>127.98873673715835</c:v>
                </c:pt>
                <c:pt idx="22">
                  <c:v>142.8306871125636</c:v>
                </c:pt>
                <c:pt idx="23">
                  <c:v>155.98194926212051</c:v>
                </c:pt>
                <c:pt idx="24">
                  <c:v>167.8717247605278</c:v>
                </c:pt>
                <c:pt idx="25">
                  <c:v>178.5637575875013</c:v>
                </c:pt>
                <c:pt idx="26">
                  <c:v>188.16199924546129</c:v>
                </c:pt>
                <c:pt idx="27">
                  <c:v>196.8929308239955</c:v>
                </c:pt>
                <c:pt idx="28">
                  <c:v>204.7717068023579</c:v>
                </c:pt>
                <c:pt idx="29">
                  <c:v>211.78925430556114</c:v>
                </c:pt>
                <c:pt idx="30">
                  <c:v>218.15057013911309</c:v>
                </c:pt>
                <c:pt idx="31">
                  <c:v>223.87485000717416</c:v>
                </c:pt>
                <c:pt idx="32">
                  <c:v>229.03109177688728</c:v>
                </c:pt>
                <c:pt idx="33">
                  <c:v>233.66862722044843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B-4FDF-BF4F-AD1415FC36E2}"/>
            </c:ext>
          </c:extLst>
        </c:ser>
        <c:ser>
          <c:idx val="7"/>
          <c:order val="3"/>
          <c:tx>
            <c:strRef>
              <c:f>'Figures in Paper'!$B$6</c:f>
              <c:strCache>
                <c:ptCount val="1"/>
                <c:pt idx="0">
                  <c:v>Declining Average  Capacity Factor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Paper'!$C$6:$AJ$6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-520.24819030769095</c:v>
                </c:pt>
                <c:pt idx="4">
                  <c:v>-453.47220350202429</c:v>
                </c:pt>
                <c:pt idx="5">
                  <c:v>-401.75387104359606</c:v>
                </c:pt>
                <c:pt idx="6">
                  <c:v>-363.64907668174294</c:v>
                </c:pt>
                <c:pt idx="7">
                  <c:v>-337.47720498638853</c:v>
                </c:pt>
                <c:pt idx="8">
                  <c:v>-319.63949923362202</c:v>
                </c:pt>
                <c:pt idx="9">
                  <c:v>-308.04875217445749</c:v>
                </c:pt>
                <c:pt idx="10">
                  <c:v>-299.18700363242408</c:v>
                </c:pt>
                <c:pt idx="11">
                  <c:v>-293.24852940296847</c:v>
                </c:pt>
                <c:pt idx="12">
                  <c:v>-291.18102726059681</c:v>
                </c:pt>
                <c:pt idx="13">
                  <c:v>-259.63378629747922</c:v>
                </c:pt>
                <c:pt idx="14">
                  <c:v>-231.5009337385722</c:v>
                </c:pt>
                <c:pt idx="15">
                  <c:v>-206.51442296416741</c:v>
                </c:pt>
                <c:pt idx="16">
                  <c:v>-183.45957302370317</c:v>
                </c:pt>
                <c:pt idx="17">
                  <c:v>-163.37928586812131</c:v>
                </c:pt>
                <c:pt idx="18">
                  <c:v>-147.89175767216653</c:v>
                </c:pt>
                <c:pt idx="19">
                  <c:v>-136.13970695341158</c:v>
                </c:pt>
                <c:pt idx="20">
                  <c:v>-126.02204336177962</c:v>
                </c:pt>
                <c:pt idx="21">
                  <c:v>-116.8986527646676</c:v>
                </c:pt>
                <c:pt idx="22">
                  <c:v>-108.70240940101804</c:v>
                </c:pt>
                <c:pt idx="23">
                  <c:v>-101.67642668072</c:v>
                </c:pt>
                <c:pt idx="24">
                  <c:v>-95.429397421844058</c:v>
                </c:pt>
                <c:pt idx="25">
                  <c:v>-89.817314481605948</c:v>
                </c:pt>
                <c:pt idx="26">
                  <c:v>-84.949960568392711</c:v>
                </c:pt>
                <c:pt idx="27">
                  <c:v>-80.596799005888144</c:v>
                </c:pt>
                <c:pt idx="28">
                  <c:v>-76.671763325993069</c:v>
                </c:pt>
                <c:pt idx="29">
                  <c:v>-73.182650650498545</c:v>
                </c:pt>
                <c:pt idx="30">
                  <c:v>-70.020824596698148</c:v>
                </c:pt>
                <c:pt idx="31">
                  <c:v>-67.180093072705887</c:v>
                </c:pt>
                <c:pt idx="32">
                  <c:v>-64.625068567869064</c:v>
                </c:pt>
                <c:pt idx="33">
                  <c:v>-62.333456470133655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8B-4FDF-BF4F-AD1415FC3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  <c:extLst>
          <c:ext xmlns:c15="http://schemas.microsoft.com/office/drawing/2012/chart" uri="{02D57815-91ED-43cb-92C2-25804820EDAC}">
            <c15:filteredLine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'Figures in Paper'!$B$7</c15:sqref>
                        </c15:formulaRef>
                      </c:ext>
                    </c:extLst>
                    <c:strCache>
                      <c:ptCount val="1"/>
                      <c:pt idx="0">
                        <c:v>Constant Capacity Factor NPV=0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'Figures in Paper'!$C$7:$AJ$7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-448.78162891104017</c:v>
                      </c:pt>
                      <c:pt idx="1">
                        <c:v>-521.89668509904016</c:v>
                      </c:pt>
                      <c:pt idx="2">
                        <c:v>-591.45743309904014</c:v>
                      </c:pt>
                      <c:pt idx="3">
                        <c:v>-541.69631596591842</c:v>
                      </c:pt>
                      <c:pt idx="4">
                        <c:v>-490.01134751195201</c:v>
                      </c:pt>
                      <c:pt idx="5">
                        <c:v>-446.7536893013023</c:v>
                      </c:pt>
                      <c:pt idx="6">
                        <c:v>-411.64155823795409</c:v>
                      </c:pt>
                      <c:pt idx="7">
                        <c:v>-382.80512264927302</c:v>
                      </c:pt>
                      <c:pt idx="8">
                        <c:v>-360.29776079780441</c:v>
                      </c:pt>
                      <c:pt idx="9">
                        <c:v>-341.9649310045038</c:v>
                      </c:pt>
                      <c:pt idx="10">
                        <c:v>-326.38212567046168</c:v>
                      </c:pt>
                      <c:pt idx="11">
                        <c:v>-313.92638115316242</c:v>
                      </c:pt>
                      <c:pt idx="12">
                        <c:v>-303.60784713497026</c:v>
                      </c:pt>
                      <c:pt idx="13">
                        <c:v>-265.00883351757824</c:v>
                      </c:pt>
                      <c:pt idx="14">
                        <c:v>-230.37203551304032</c:v>
                      </c:pt>
                      <c:pt idx="15">
                        <c:v>-199.6486705422239</c:v>
                      </c:pt>
                      <c:pt idx="16">
                        <c:v>-171.91547449134811</c:v>
                      </c:pt>
                      <c:pt idx="17">
                        <c:v>-147.01760466061933</c:v>
                      </c:pt>
                      <c:pt idx="18">
                        <c:v>-126.97149468871794</c:v>
                      </c:pt>
                      <c:pt idx="19">
                        <c:v>-110.85872218240513</c:v>
                      </c:pt>
                      <c:pt idx="20">
                        <c:v>-96.55779333807159</c:v>
                      </c:pt>
                      <c:pt idx="21">
                        <c:v>-83.474463046215632</c:v>
                      </c:pt>
                      <c:pt idx="22">
                        <c:v>-71.716757428970311</c:v>
                      </c:pt>
                      <c:pt idx="23">
                        <c:v>-61.307685612296638</c:v>
                      </c:pt>
                      <c:pt idx="24">
                        <c:v>-51.900659520090912</c:v>
                      </c:pt>
                      <c:pt idx="25">
                        <c:v>-43.445826196793341</c:v>
                      </c:pt>
                      <c:pt idx="26">
                        <c:v>-35.860457259354625</c:v>
                      </c:pt>
                      <c:pt idx="27">
                        <c:v>-28.962208444110658</c:v>
                      </c:pt>
                      <c:pt idx="28">
                        <c:v>-22.740173983504821</c:v>
                      </c:pt>
                      <c:pt idx="29">
                        <c:v>-17.203122744856337</c:v>
                      </c:pt>
                      <c:pt idx="30">
                        <c:v>-12.185795842996223</c:v>
                      </c:pt>
                      <c:pt idx="31">
                        <c:v>-7.6736271571519286</c:v>
                      </c:pt>
                      <c:pt idx="32">
                        <c:v>-3.611546769182377</c:v>
                      </c:pt>
                      <c:pt idx="33">
                        <c:v>3.9506019070350007E-2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880-4FEB-AB73-72A5E430A427}"/>
                  </c:ext>
                </c:extLst>
              </c15:ser>
            </c15:filteredLineSeries>
          </c:ext>
        </c:extLst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NGCC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8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876105687860163"/>
          <c:y val="0.10768296327175898"/>
          <c:w val="0.25242700586555677"/>
          <c:h val="0.32033664417472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0720501609993728"/>
          <c:w val="0.84823909244617302"/>
          <c:h val="0.71167196851022119"/>
        </c:manualLayout>
      </c:layout>
      <c:lineChart>
        <c:grouping val="standard"/>
        <c:varyColors val="0"/>
        <c:ser>
          <c:idx val="5"/>
          <c:order val="0"/>
          <c:tx>
            <c:strRef>
              <c:f>'Figures in Paper'!$B$40</c:f>
              <c:strCache>
                <c:ptCount val="1"/>
                <c:pt idx="0">
                  <c:v>NPV=0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Paper'!$C$40:$AJ$40</c:f>
              <c:numCache>
                <c:formatCode>"$"#,##0.00_);\("$"#,##0.00\)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45-4B35-BF2E-A5410D72E602}"/>
            </c:ext>
          </c:extLst>
        </c:ser>
        <c:ser>
          <c:idx val="0"/>
          <c:order val="1"/>
          <c:tx>
            <c:strRef>
              <c:f>'Figures in Paper'!$B$35</c:f>
              <c:strCache>
                <c:ptCount val="1"/>
                <c:pt idx="0">
                  <c:v>Normal Operation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'Cost Target Evaluation'!$F$6:$AM$6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Paper'!$C$35:$AJ$35</c:f>
              <c:numCache>
                <c:formatCode>General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-515.46</c:v>
                </c:pt>
                <c:pt idx="4">
                  <c:v>-440.72</c:v>
                </c:pt>
                <c:pt idx="5">
                  <c:v>-376.78</c:v>
                </c:pt>
                <c:pt idx="6">
                  <c:v>-323.35000000000002</c:v>
                </c:pt>
                <c:pt idx="7">
                  <c:v>-278.14999999999998</c:v>
                </c:pt>
                <c:pt idx="8">
                  <c:v>-241.26</c:v>
                </c:pt>
                <c:pt idx="9">
                  <c:v>-210.14</c:v>
                </c:pt>
                <c:pt idx="10">
                  <c:v>-183.12</c:v>
                </c:pt>
                <c:pt idx="11">
                  <c:v>-160.59</c:v>
                </c:pt>
                <c:pt idx="12" formatCode="&quot;$&quot;#,##0.00_);\(&quot;$&quot;#,##0.00\)">
                  <c:v>-141.28</c:v>
                </c:pt>
                <c:pt idx="13" formatCode="&quot;$&quot;#,##0.00_);\(&quot;$&quot;#,##0.00\)">
                  <c:v>-94.49</c:v>
                </c:pt>
                <c:pt idx="14" formatCode="&quot;$&quot;#,##0.00_);\(&quot;$&quot;#,##0.00\)">
                  <c:v>-52.51</c:v>
                </c:pt>
                <c:pt idx="15" formatCode="&quot;$&quot;#,##0.00_);\(&quot;$&quot;#,##0.00\)">
                  <c:v>-15.3</c:v>
                </c:pt>
                <c:pt idx="16" formatCode="&quot;$&quot;#,##0.00_);\(&quot;$&quot;#,##0.00\)">
                  <c:v>18.29</c:v>
                </c:pt>
                <c:pt idx="17" formatCode="&quot;$&quot;#,##0.00_);\(&quot;$&quot;#,##0.00\)">
                  <c:v>48.43</c:v>
                </c:pt>
                <c:pt idx="18" formatCode="&quot;$&quot;#,##0.00_);\(&quot;$&quot;#,##0.00\)">
                  <c:v>73.13</c:v>
                </c:pt>
                <c:pt idx="19" formatCode="&quot;$&quot;#,##0.00_);\(&quot;$&quot;#,##0.00\)">
                  <c:v>93.44</c:v>
                </c:pt>
                <c:pt idx="20" formatCode="&quot;$&quot;#,##0.00_);\(&quot;$&quot;#,##0.00\)">
                  <c:v>111.48</c:v>
                </c:pt>
                <c:pt idx="21" formatCode="&quot;$&quot;#,##0.00_);\(&quot;$&quot;#,##0.00\)">
                  <c:v>127.99</c:v>
                </c:pt>
                <c:pt idx="22" formatCode="&quot;$&quot;#,##0.00_);\(&quot;$&quot;#,##0.00\)">
                  <c:v>142.83000000000001</c:v>
                </c:pt>
                <c:pt idx="23" formatCode="&quot;$&quot;#,##0.00_);\(&quot;$&quot;#,##0.00\)">
                  <c:v>155.97999999999999</c:v>
                </c:pt>
                <c:pt idx="24" formatCode="&quot;$&quot;#,##0.00_);\(&quot;$&quot;#,##0.00\)">
                  <c:v>167.87</c:v>
                </c:pt>
                <c:pt idx="25" formatCode="&quot;$&quot;#,##0.00_);\(&quot;$&quot;#,##0.00\)">
                  <c:v>178.56</c:v>
                </c:pt>
                <c:pt idx="26" formatCode="&quot;$&quot;#,##0.00_);\(&quot;$&quot;#,##0.00\)">
                  <c:v>188.16</c:v>
                </c:pt>
                <c:pt idx="27" formatCode="&quot;$&quot;#,##0.00_);\(&quot;$&quot;#,##0.00\)">
                  <c:v>196.89</c:v>
                </c:pt>
                <c:pt idx="28" formatCode="&quot;$&quot;#,##0.00_);\(&quot;$&quot;#,##0.00\)">
                  <c:v>204.77</c:v>
                </c:pt>
                <c:pt idx="29" formatCode="&quot;$&quot;#,##0.00_);\(&quot;$&quot;#,##0.00\)">
                  <c:v>211.79</c:v>
                </c:pt>
                <c:pt idx="30" formatCode="&quot;$&quot;#,##0.00_);\(&quot;$&quot;#,##0.00\)">
                  <c:v>218.15</c:v>
                </c:pt>
                <c:pt idx="31" formatCode="&quot;$&quot;#,##0.00_);\(&quot;$&quot;#,##0.00\)">
                  <c:v>223.87</c:v>
                </c:pt>
                <c:pt idx="32" formatCode="&quot;$&quot;#,##0.00_);\(&quot;$&quot;#,##0.00\)">
                  <c:v>229.03</c:v>
                </c:pt>
                <c:pt idx="33" formatCode="&quot;$&quot;#,##0.00_);\(&quot;$&quot;#,##0.00\)">
                  <c:v>233.67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45-4B35-BF2E-A5410D72E602}"/>
            </c:ext>
          </c:extLst>
        </c:ser>
        <c:ser>
          <c:idx val="3"/>
          <c:order val="2"/>
          <c:tx>
            <c:strRef>
              <c:f>'Figures in Paper'!$B$38</c:f>
              <c:strCache>
                <c:ptCount val="1"/>
                <c:pt idx="0">
                  <c:v>Biomethane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Paper'!$C$38:$AJ$38</c:f>
              <c:numCache>
                <c:formatCode>"$"#,##0.00_);\("$"#,##0.00\)</c:formatCode>
                <c:ptCount val="34"/>
                <c:pt idx="7" formatCode="General">
                  <c:v>-278.14844133841052</c:v>
                </c:pt>
                <c:pt idx="8">
                  <c:v>-370.95734926466628</c:v>
                </c:pt>
                <c:pt idx="9">
                  <c:v>-454.85858128168923</c:v>
                </c:pt>
                <c:pt idx="10">
                  <c:v>-531.44341013857911</c:v>
                </c:pt>
                <c:pt idx="11">
                  <c:v>-603.67144515250789</c:v>
                </c:pt>
                <c:pt idx="12">
                  <c:v>-671.92140067219532</c:v>
                </c:pt>
                <c:pt idx="13">
                  <c:v>-704.30566425062875</c:v>
                </c:pt>
                <c:pt idx="14">
                  <c:v>-735.71922190192936</c:v>
                </c:pt>
                <c:pt idx="15">
                  <c:v>-765.99678309854596</c:v>
                </c:pt>
                <c:pt idx="16">
                  <c:v>-793.77253920469479</c:v>
                </c:pt>
                <c:pt idx="17">
                  <c:v>-819.62688332311745</c:v>
                </c:pt>
                <c:pt idx="18">
                  <c:v>-844.47816729711508</c:v>
                </c:pt>
                <c:pt idx="19">
                  <c:v>-867.83141569299426</c:v>
                </c:pt>
                <c:pt idx="20">
                  <c:v>-889.75208073200076</c:v>
                </c:pt>
                <c:pt idx="21">
                  <c:v>-909.772026342446</c:v>
                </c:pt>
                <c:pt idx="22">
                  <c:v>-928.50712861571924</c:v>
                </c:pt>
                <c:pt idx="23">
                  <c:v>-946.28437704097973</c:v>
                </c:pt>
                <c:pt idx="24">
                  <c:v>-962.85188604097948</c:v>
                </c:pt>
                <c:pt idx="25">
                  <c:v>-978.294861634369</c:v>
                </c:pt>
                <c:pt idx="26">
                  <c:v>-992.70116266047637</c:v>
                </c:pt>
                <c:pt idx="27">
                  <c:v>-1005.9472193885065</c:v>
                </c:pt>
                <c:pt idx="28">
                  <c:v>-1018.2252315868813</c:v>
                </c:pt>
                <c:pt idx="29">
                  <c:v>-1029.618440354016</c:v>
                </c:pt>
                <c:pt idx="30">
                  <c:v>-1039.9938486820276</c:v>
                </c:pt>
                <c:pt idx="31">
                  <c:v>-1049.5533834227915</c:v>
                </c:pt>
                <c:pt idx="32">
                  <c:v>-1058.3881346617695</c:v>
                </c:pt>
                <c:pt idx="33">
                  <c:v>-1066.473953558391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45-4B35-BF2E-A5410D72E602}"/>
            </c:ext>
          </c:extLst>
        </c:ser>
        <c:ser>
          <c:idx val="2"/>
          <c:order val="3"/>
          <c:tx>
            <c:strRef>
              <c:f>'Figures in Paper'!$B$37</c:f>
              <c:strCache>
                <c:ptCount val="1"/>
                <c:pt idx="0">
                  <c:v>Shutdown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Paper'!$C$37:$AJ$37</c:f>
              <c:numCache>
                <c:formatCode>"$"#,##0.00_);\("$"#,##0.00\)</c:formatCode>
                <c:ptCount val="34"/>
                <c:pt idx="7" formatCode="General">
                  <c:v>-278.14999999999998</c:v>
                </c:pt>
                <c:pt idx="8">
                  <c:v>-326.74</c:v>
                </c:pt>
                <c:pt idx="9">
                  <c:v>-371.33</c:v>
                </c:pt>
                <c:pt idx="10">
                  <c:v>-412.23</c:v>
                </c:pt>
                <c:pt idx="11">
                  <c:v>-449.75</c:v>
                </c:pt>
                <c:pt idx="12">
                  <c:v>-484.18</c:v>
                </c:pt>
                <c:pt idx="13">
                  <c:v>-484.18</c:v>
                </c:pt>
                <c:pt idx="14">
                  <c:v>-484.18</c:v>
                </c:pt>
                <c:pt idx="15">
                  <c:v>-484.18</c:v>
                </c:pt>
                <c:pt idx="16">
                  <c:v>-484.18</c:v>
                </c:pt>
                <c:pt idx="17">
                  <c:v>-484.18</c:v>
                </c:pt>
                <c:pt idx="18">
                  <c:v>-484.18</c:v>
                </c:pt>
                <c:pt idx="19">
                  <c:v>-484.18</c:v>
                </c:pt>
                <c:pt idx="20">
                  <c:v>-484.18</c:v>
                </c:pt>
                <c:pt idx="21">
                  <c:v>-484.18</c:v>
                </c:pt>
                <c:pt idx="22">
                  <c:v>-484.18</c:v>
                </c:pt>
                <c:pt idx="23">
                  <c:v>-484.18</c:v>
                </c:pt>
                <c:pt idx="24">
                  <c:v>-484.18</c:v>
                </c:pt>
                <c:pt idx="25">
                  <c:v>-484.18</c:v>
                </c:pt>
                <c:pt idx="26">
                  <c:v>-484.18</c:v>
                </c:pt>
                <c:pt idx="27">
                  <c:v>-484.18</c:v>
                </c:pt>
                <c:pt idx="28">
                  <c:v>-484.18</c:v>
                </c:pt>
                <c:pt idx="29">
                  <c:v>-484.18</c:v>
                </c:pt>
                <c:pt idx="30">
                  <c:v>-484.18</c:v>
                </c:pt>
                <c:pt idx="31">
                  <c:v>-484.18</c:v>
                </c:pt>
                <c:pt idx="32">
                  <c:v>-484.18</c:v>
                </c:pt>
                <c:pt idx="33">
                  <c:v>-484.18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45-4B35-BF2E-A5410D72E602}"/>
            </c:ext>
          </c:extLst>
        </c:ser>
        <c:ser>
          <c:idx val="1"/>
          <c:order val="4"/>
          <c:tx>
            <c:strRef>
              <c:f>'Figures in Paper'!$B$36</c:f>
              <c:strCache>
                <c:ptCount val="1"/>
                <c:pt idx="0">
                  <c:v>Normal Operation with CCS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Paper'!$C$36:$AJ$36</c:f>
              <c:numCache>
                <c:formatCode>"$"#,##0.00_);\("$"#,##0.00\)</c:formatCode>
                <c:ptCount val="34"/>
                <c:pt idx="7" formatCode="General">
                  <c:v>-278.14999999999998</c:v>
                </c:pt>
                <c:pt idx="8">
                  <c:v>-751.45</c:v>
                </c:pt>
                <c:pt idx="9">
                  <c:v>-838.84</c:v>
                </c:pt>
                <c:pt idx="10">
                  <c:v>-921.47</c:v>
                </c:pt>
                <c:pt idx="11">
                  <c:v>-1000.53</c:v>
                </c:pt>
                <c:pt idx="12">
                  <c:v>-1074.8499999999999</c:v>
                </c:pt>
                <c:pt idx="13">
                  <c:v>-1111.6199999999999</c:v>
                </c:pt>
                <c:pt idx="14">
                  <c:v>-1146.56</c:v>
                </c:pt>
                <c:pt idx="15">
                  <c:v>-1180.42</c:v>
                </c:pt>
                <c:pt idx="16">
                  <c:v>-1212.3399999999999</c:v>
                </c:pt>
                <c:pt idx="17">
                  <c:v>-1242.6400000000001</c:v>
                </c:pt>
                <c:pt idx="18">
                  <c:v>-1271.51</c:v>
                </c:pt>
                <c:pt idx="19">
                  <c:v>-1265.54</c:v>
                </c:pt>
                <c:pt idx="20">
                  <c:v>-1260.9000000000001</c:v>
                </c:pt>
                <c:pt idx="21">
                  <c:v>-1256.74</c:v>
                </c:pt>
                <c:pt idx="22">
                  <c:v>-1253.33</c:v>
                </c:pt>
                <c:pt idx="23">
                  <c:v>-1250.8399999999999</c:v>
                </c:pt>
                <c:pt idx="24">
                  <c:v>-1248.79</c:v>
                </c:pt>
                <c:pt idx="25">
                  <c:v>-1247.2</c:v>
                </c:pt>
                <c:pt idx="26">
                  <c:v>-1246.03</c:v>
                </c:pt>
                <c:pt idx="27">
                  <c:v>-1245.08</c:v>
                </c:pt>
                <c:pt idx="28">
                  <c:v>-1244.3900000000001</c:v>
                </c:pt>
                <c:pt idx="29">
                  <c:v>-1244.06</c:v>
                </c:pt>
                <c:pt idx="30">
                  <c:v>-1243.9000000000001</c:v>
                </c:pt>
                <c:pt idx="31">
                  <c:v>-1243.92</c:v>
                </c:pt>
                <c:pt idx="32">
                  <c:v>-1244.07</c:v>
                </c:pt>
                <c:pt idx="33">
                  <c:v>-1244.3699999999999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45-4B35-BF2E-A5410D72E602}"/>
            </c:ext>
          </c:extLst>
        </c:ser>
        <c:ser>
          <c:idx val="4"/>
          <c:order val="5"/>
          <c:tx>
            <c:strRef>
              <c:f>'Figures in Paper'!$B$39</c:f>
              <c:strCache>
                <c:ptCount val="1"/>
                <c:pt idx="0">
                  <c:v>Biomethane with CCS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'Figures in Paper'!$C$39:$AJ$39</c:f>
              <c:numCache>
                <c:formatCode>"$"#,##0.00_);\("$"#,##0.00\)</c:formatCode>
                <c:ptCount val="34"/>
                <c:pt idx="7" formatCode="General">
                  <c:v>-278.14844133841052</c:v>
                </c:pt>
                <c:pt idx="8">
                  <c:v>-901.94858815584746</c:v>
                </c:pt>
                <c:pt idx="9">
                  <c:v>-1122.4846688040216</c:v>
                </c:pt>
                <c:pt idx="10">
                  <c:v>-1324.4225697995821</c:v>
                </c:pt>
                <c:pt idx="11">
                  <c:v>-1511.6534232893555</c:v>
                </c:pt>
                <c:pt idx="12">
                  <c:v>-1685.4105517226619</c:v>
                </c:pt>
                <c:pt idx="13">
                  <c:v>-1814.5903867814798</c:v>
                </c:pt>
                <c:pt idx="14">
                  <c:v>-1934.807221020289</c:v>
                </c:pt>
                <c:pt idx="15">
                  <c:v>-2046.5556781687485</c:v>
                </c:pt>
                <c:pt idx="16">
                  <c:v>-2149.07537551512</c:v>
                </c:pt>
                <c:pt idx="17">
                  <c:v>-2243.5021427897104</c:v>
                </c:pt>
                <c:pt idx="18">
                  <c:v>-2331.263906723495</c:v>
                </c:pt>
                <c:pt idx="19">
                  <c:v>-2379.3497180356094</c:v>
                </c:pt>
                <c:pt idx="20">
                  <c:v>-2423.9608077684097</c:v>
                </c:pt>
                <c:pt idx="21">
                  <c:v>-2464.7976567676565</c:v>
                </c:pt>
                <c:pt idx="22">
                  <c:v>-2502.6308355444171</c:v>
                </c:pt>
                <c:pt idx="23">
                  <c:v>-2537.9292550737946</c:v>
                </c:pt>
                <c:pt idx="24">
                  <c:v>-2570.5712329766538</c:v>
                </c:pt>
                <c:pt idx="25">
                  <c:v>-2600.7614277469788</c:v>
                </c:pt>
                <c:pt idx="26">
                  <c:v>-2628.697287651009</c:v>
                </c:pt>
                <c:pt idx="27">
                  <c:v>-2654.3557837165827</c:v>
                </c:pt>
                <c:pt idx="28">
                  <c:v>-2678.021354940227</c:v>
                </c:pt>
                <c:pt idx="29">
                  <c:v>-2699.8618655654072</c:v>
                </c:pt>
                <c:pt idx="30">
                  <c:v>-2719.8219544971303</c:v>
                </c:pt>
                <c:pt idx="31">
                  <c:v>-2738.1747741954273</c:v>
                </c:pt>
                <c:pt idx="32">
                  <c:v>-2755.0767593403993</c:v>
                </c:pt>
                <c:pt idx="33">
                  <c:v>-2770.5637102608684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45-4B35-BF2E-A5410D72E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 NGCC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30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</a:p>
            </c:rich>
          </c:tx>
          <c:layout>
            <c:manualLayout>
              <c:xMode val="edge"/>
              <c:yMode val="edge"/>
              <c:x val="4.0003196898837891E-2"/>
              <c:y val="0.26966555421940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031426298629503"/>
          <c:y val="8.9715050096066284E-2"/>
          <c:w val="0.79356340677745962"/>
          <c:h val="6.66085663739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77534203703087"/>
          <c:y val="0.18999956717160624"/>
          <c:w val="0.79222462817147854"/>
          <c:h val="0.67458916593759122"/>
        </c:manualLayout>
      </c:layout>
      <c:lineChart>
        <c:grouping val="standard"/>
        <c:varyColors val="0"/>
        <c:ser>
          <c:idx val="3"/>
          <c:order val="0"/>
          <c:tx>
            <c:strRef>
              <c:f>'Figures in Paper'!$B$104</c:f>
              <c:strCache>
                <c:ptCount val="1"/>
                <c:pt idx="0">
                  <c:v>EIA $25 Carbon Fee with Feedback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0-F6E8-41AB-ABFC-108DAF9E8C21}"/>
              </c:ext>
            </c:extLst>
          </c:dPt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  <c:extLst xmlns:c15="http://schemas.microsoft.com/office/drawing/2012/chart"/>
            </c:numRef>
          </c:cat>
          <c:val>
            <c:numRef>
              <c:f>'Figures in Paper'!$C$104:$F$104</c:f>
              <c:numCache>
                <c:formatCode>General</c:formatCode>
                <c:ptCount val="4"/>
                <c:pt idx="0">
                  <c:v>4.99</c:v>
                </c:pt>
                <c:pt idx="1">
                  <c:v>5.19</c:v>
                </c:pt>
                <c:pt idx="2">
                  <c:v>5.47</c:v>
                </c:pt>
                <c:pt idx="3">
                  <c:v>5.83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BB-481C-8086-83BD6BAFBBCC}"/>
            </c:ext>
          </c:extLst>
        </c:ser>
        <c:ser>
          <c:idx val="2"/>
          <c:order val="1"/>
          <c:tx>
            <c:strRef>
              <c:f>'Figures in Paper'!$B$103</c:f>
              <c:strCache>
                <c:ptCount val="1"/>
                <c:pt idx="0">
                  <c:v>EIA $25 Carbon Fee without Feedback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  <c:extLst xmlns:c15="http://schemas.microsoft.com/office/drawing/2012/chart"/>
            </c:numRef>
          </c:cat>
          <c:val>
            <c:numRef>
              <c:f>'Figures in Paper'!$C$103:$F$103</c:f>
              <c:numCache>
                <c:formatCode>General</c:formatCode>
                <c:ptCount val="4"/>
                <c:pt idx="0">
                  <c:v>4.9800000000000004</c:v>
                </c:pt>
                <c:pt idx="1">
                  <c:v>5.17</c:v>
                </c:pt>
                <c:pt idx="2">
                  <c:v>5.17</c:v>
                </c:pt>
                <c:pt idx="3">
                  <c:v>4.7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BB-481C-8086-83BD6BAFBBCC}"/>
            </c:ext>
          </c:extLst>
        </c:ser>
        <c:ser>
          <c:idx val="1"/>
          <c:order val="2"/>
          <c:tx>
            <c:strRef>
              <c:f>'Figures in Paper'!$B$102</c:f>
              <c:strCache>
                <c:ptCount val="1"/>
                <c:pt idx="0">
                  <c:v>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</c:numRef>
          </c:cat>
          <c:val>
            <c:numRef>
              <c:f>'Figures in Paper'!$C$102:$F$102</c:f>
              <c:numCache>
                <c:formatCode>0.00</c:formatCode>
                <c:ptCount val="4"/>
                <c:pt idx="0">
                  <c:v>5.69</c:v>
                </c:pt>
                <c:pt idx="1">
                  <c:v>5.29</c:v>
                </c:pt>
                <c:pt idx="2">
                  <c:v>4.95</c:v>
                </c:pt>
                <c:pt idx="3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B-481C-8086-83BD6BAFBBCC}"/>
            </c:ext>
          </c:extLst>
        </c:ser>
        <c:ser>
          <c:idx val="0"/>
          <c:order val="3"/>
          <c:tx>
            <c:strRef>
              <c:f>'Figures in Paper'!$B$101</c:f>
              <c:strCache>
                <c:ptCount val="1"/>
                <c:pt idx="0">
                  <c:v>No Price on Emissions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</c:numRef>
          </c:cat>
          <c:val>
            <c:numRef>
              <c:f>'Figures in Paper'!$C$101:$F$101</c:f>
              <c:numCache>
                <c:formatCode>0.00</c:formatCode>
                <c:ptCount val="4"/>
                <c:pt idx="0">
                  <c:v>3.8</c:v>
                </c:pt>
                <c:pt idx="1">
                  <c:v>3.87</c:v>
                </c:pt>
                <c:pt idx="2">
                  <c:v>3.95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B-481C-8086-83BD6BAFB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37071"/>
        <c:axId val="212151631"/>
        <c:extLst/>
      </c:lineChart>
      <c:catAx>
        <c:axId val="2121370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Year of Change to Biomethane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51631"/>
        <c:crosses val="autoZero"/>
        <c:auto val="1"/>
        <c:lblAlgn val="ctr"/>
        <c:lblOffset val="100"/>
        <c:noMultiLvlLbl val="0"/>
      </c:catAx>
      <c:valAx>
        <c:axId val="212151631"/>
        <c:scaling>
          <c:orientation val="minMax"/>
          <c:min val="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Maximum Biomethane Cost </a:t>
                </a:r>
              </a:p>
              <a:p>
                <a:pPr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($ per mmBTU)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7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065697113413767"/>
          <c:y val="5.7000811082772641E-2"/>
          <c:w val="0.72508119903381041"/>
          <c:h val="0.125900370431207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2025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878919939215603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DB-47CC-A923-621946F9AEC7}"/>
            </c:ext>
          </c:extLst>
        </c:ser>
        <c:ser>
          <c:idx val="3"/>
          <c:order val="1"/>
          <c:tx>
            <c:strRef>
              <c:f>'Figures in Paper'!$B$175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Paper'!$C$175:$AJ$175</c:f>
              <c:numCache>
                <c:formatCode>General</c:formatCode>
                <c:ptCount val="34"/>
                <c:pt idx="7">
                  <c:v>-325.01314491750622</c:v>
                </c:pt>
                <c:pt idx="8">
                  <c:v>-302.54808318133655</c:v>
                </c:pt>
                <c:pt idx="9">
                  <c:v>-281.81917226994415</c:v>
                </c:pt>
                <c:pt idx="10">
                  <c:v>-264.85508973307725</c:v>
                </c:pt>
                <c:pt idx="11">
                  <c:v>-252.44528946554334</c:v>
                </c:pt>
                <c:pt idx="12">
                  <c:v>-243.86002952459503</c:v>
                </c:pt>
                <c:pt idx="13">
                  <c:v>-208.61910120328344</c:v>
                </c:pt>
                <c:pt idx="14">
                  <c:v>-177.48423769503134</c:v>
                </c:pt>
                <c:pt idx="15">
                  <c:v>-150.01876055984522</c:v>
                </c:pt>
                <c:pt idx="16">
                  <c:v>-125.23812483891076</c:v>
                </c:pt>
                <c:pt idx="17">
                  <c:v>-103.32157500873191</c:v>
                </c:pt>
                <c:pt idx="18">
                  <c:v>-86.487246956431491</c:v>
                </c:pt>
                <c:pt idx="19">
                  <c:v>-74.465662809290848</c:v>
                </c:pt>
                <c:pt idx="20">
                  <c:v>-64.24676473552563</c:v>
                </c:pt>
                <c:pt idx="21">
                  <c:v>-55.372054635648702</c:v>
                </c:pt>
                <c:pt idx="22">
                  <c:v>-47.551184116320862</c:v>
                </c:pt>
                <c:pt idx="23">
                  <c:v>-40.731411221858266</c:v>
                </c:pt>
                <c:pt idx="24">
                  <c:v>-35.005967909711366</c:v>
                </c:pt>
                <c:pt idx="25">
                  <c:v>-30.238417043642407</c:v>
                </c:pt>
                <c:pt idx="26">
                  <c:v>-26.154332867916438</c:v>
                </c:pt>
                <c:pt idx="27">
                  <c:v>-22.762878568811189</c:v>
                </c:pt>
                <c:pt idx="28">
                  <c:v>-20.002560243283469</c:v>
                </c:pt>
                <c:pt idx="29">
                  <c:v>-17.731561668635575</c:v>
                </c:pt>
                <c:pt idx="30">
                  <c:v>-15.801388822636884</c:v>
                </c:pt>
                <c:pt idx="31">
                  <c:v>-14.201940096903542</c:v>
                </c:pt>
                <c:pt idx="32">
                  <c:v>-12.933716221390252</c:v>
                </c:pt>
                <c:pt idx="33">
                  <c:v>-11.890000000000065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DB-47CC-A923-621946F9AEC7}"/>
            </c:ext>
          </c:extLst>
        </c:ser>
        <c:ser>
          <c:idx val="2"/>
          <c:order val="2"/>
          <c:tx>
            <c:strRef>
              <c:f>'Figures in Paper'!$B$177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'Figures in Paper'!$C$177:$AJ$177</c:f>
              <c:numCache>
                <c:formatCode>General</c:formatCode>
                <c:ptCount val="34"/>
                <c:pt idx="7">
                  <c:v>-325.01314491750622</c:v>
                </c:pt>
                <c:pt idx="8">
                  <c:v>-373.60764891267195</c:v>
                </c:pt>
                <c:pt idx="9">
                  <c:v>-418.18976266970469</c:v>
                </c:pt>
                <c:pt idx="10">
                  <c:v>-459.09078446514758</c:v>
                </c:pt>
                <c:pt idx="11">
                  <c:v>-496.61465767197592</c:v>
                </c:pt>
                <c:pt idx="12">
                  <c:v>-531.04022942135975</c:v>
                </c:pt>
                <c:pt idx="13">
                  <c:v>-531.04022942135975</c:v>
                </c:pt>
                <c:pt idx="14">
                  <c:v>-531.04022942135975</c:v>
                </c:pt>
                <c:pt idx="15">
                  <c:v>-531.04022942135975</c:v>
                </c:pt>
                <c:pt idx="16">
                  <c:v>-531.04022942135975</c:v>
                </c:pt>
                <c:pt idx="17">
                  <c:v>-531.04022942135975</c:v>
                </c:pt>
                <c:pt idx="18">
                  <c:v>-531.04022942135975</c:v>
                </c:pt>
                <c:pt idx="19">
                  <c:v>-531.04022942135975</c:v>
                </c:pt>
                <c:pt idx="20">
                  <c:v>-531.04022942135975</c:v>
                </c:pt>
                <c:pt idx="21">
                  <c:v>-531.04022942135975</c:v>
                </c:pt>
                <c:pt idx="22">
                  <c:v>-531.04022942135975</c:v>
                </c:pt>
                <c:pt idx="23">
                  <c:v>-531.04022942135975</c:v>
                </c:pt>
                <c:pt idx="24">
                  <c:v>-531.04022942135975</c:v>
                </c:pt>
                <c:pt idx="25">
                  <c:v>-531.04022942135975</c:v>
                </c:pt>
                <c:pt idx="26">
                  <c:v>-531.04022942135975</c:v>
                </c:pt>
                <c:pt idx="27">
                  <c:v>-531.04022942135975</c:v>
                </c:pt>
                <c:pt idx="28">
                  <c:v>-531.04022942135975</c:v>
                </c:pt>
                <c:pt idx="29">
                  <c:v>-531.04022942135975</c:v>
                </c:pt>
                <c:pt idx="30">
                  <c:v>-531.04022942135975</c:v>
                </c:pt>
                <c:pt idx="31">
                  <c:v>-531.04022942135975</c:v>
                </c:pt>
                <c:pt idx="32">
                  <c:v>-531.04022942135975</c:v>
                </c:pt>
                <c:pt idx="33">
                  <c:v>-531.04022942135975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B-47CC-A923-621946F9AEC7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DB-47CC-A923-621946F9AEC7}"/>
            </c:ext>
          </c:extLst>
        </c:ser>
        <c:ser>
          <c:idx val="4"/>
          <c:order val="4"/>
          <c:tx>
            <c:strRef>
              <c:f>'Figures in Paper'!$B$176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Paper'!$C$176:$AJ$176</c:f>
              <c:numCache>
                <c:formatCode>General</c:formatCode>
                <c:ptCount val="34"/>
                <c:pt idx="7">
                  <c:v>-428.28575158896962</c:v>
                </c:pt>
                <c:pt idx="8">
                  <c:v>-431.59112838559417</c:v>
                </c:pt>
                <c:pt idx="9">
                  <c:v>-434.17614622579606</c:v>
                </c:pt>
                <c:pt idx="10">
                  <c:v>-436.92680885762593</c:v>
                </c:pt>
                <c:pt idx="11">
                  <c:v>-442.15676328554798</c:v>
                </c:pt>
                <c:pt idx="12">
                  <c:v>-449.65313195806857</c:v>
                </c:pt>
                <c:pt idx="13">
                  <c:v>-426.98655369264435</c:v>
                </c:pt>
                <c:pt idx="14">
                  <c:v>-408.55595688676567</c:v>
                </c:pt>
                <c:pt idx="15">
                  <c:v>-393.74187664030791</c:v>
                </c:pt>
                <c:pt idx="16">
                  <c:v>-380.76272101805722</c:v>
                </c:pt>
                <c:pt idx="17">
                  <c:v>-369.81828831476412</c:v>
                </c:pt>
                <c:pt idx="18">
                  <c:v>-361.47858710796515</c:v>
                </c:pt>
                <c:pt idx="19">
                  <c:v>-354.92985694674604</c:v>
                </c:pt>
                <c:pt idx="20">
                  <c:v>-349.94585348478495</c:v>
                </c:pt>
                <c:pt idx="21">
                  <c:v>-345.79156773384733</c:v>
                </c:pt>
                <c:pt idx="22">
                  <c:v>-342.83874975546325</c:v>
                </c:pt>
                <c:pt idx="23">
                  <c:v>-341.19110560192053</c:v>
                </c:pt>
                <c:pt idx="24">
                  <c:v>-340.39256275182697</c:v>
                </c:pt>
                <c:pt idx="25">
                  <c:v>-340.34163576858998</c:v>
                </c:pt>
                <c:pt idx="26">
                  <c:v>-340.95551960348962</c:v>
                </c:pt>
                <c:pt idx="27">
                  <c:v>-341.95466234423247</c:v>
                </c:pt>
                <c:pt idx="28">
                  <c:v>-343.38872937483922</c:v>
                </c:pt>
                <c:pt idx="29">
                  <c:v>-345.21074397420534</c:v>
                </c:pt>
                <c:pt idx="30">
                  <c:v>-347.16877081772668</c:v>
                </c:pt>
                <c:pt idx="31">
                  <c:v>-349.35612724779594</c:v>
                </c:pt>
                <c:pt idx="32">
                  <c:v>-351.76475116034334</c:v>
                </c:pt>
                <c:pt idx="33">
                  <c:v>-354.28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DB-47CC-A923-621946F9AEC7}"/>
            </c:ext>
          </c:extLst>
        </c:ser>
        <c:ser>
          <c:idx val="5"/>
          <c:order val="5"/>
          <c:tx>
            <c:strRef>
              <c:f>'Figures in Paper'!$B$178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Paper'!$C$178:$AJ$178</c:f>
              <c:numCache>
                <c:formatCode>General</c:formatCode>
                <c:ptCount val="34"/>
                <c:pt idx="7">
                  <c:v>-428.28575158896962</c:v>
                </c:pt>
                <c:pt idx="8">
                  <c:v>-476.88025558413534</c:v>
                </c:pt>
                <c:pt idx="9">
                  <c:v>-521.46236934116814</c:v>
                </c:pt>
                <c:pt idx="10">
                  <c:v>-562.36339113661109</c:v>
                </c:pt>
                <c:pt idx="11">
                  <c:v>-599.88726434343948</c:v>
                </c:pt>
                <c:pt idx="12">
                  <c:v>-634.31283609282332</c:v>
                </c:pt>
                <c:pt idx="13">
                  <c:v>-634.31283609282332</c:v>
                </c:pt>
                <c:pt idx="14">
                  <c:v>-634.31283609282332</c:v>
                </c:pt>
                <c:pt idx="15">
                  <c:v>-634.31283609282332</c:v>
                </c:pt>
                <c:pt idx="16">
                  <c:v>-634.31283609282332</c:v>
                </c:pt>
                <c:pt idx="17">
                  <c:v>-634.31283609282332</c:v>
                </c:pt>
                <c:pt idx="18">
                  <c:v>-634.31283609282332</c:v>
                </c:pt>
                <c:pt idx="19">
                  <c:v>-634.31283609282332</c:v>
                </c:pt>
                <c:pt idx="20">
                  <c:v>-634.31283609282332</c:v>
                </c:pt>
                <c:pt idx="21">
                  <c:v>-634.31283609282332</c:v>
                </c:pt>
                <c:pt idx="22">
                  <c:v>-634.31283609282332</c:v>
                </c:pt>
                <c:pt idx="23">
                  <c:v>-634.31283609282332</c:v>
                </c:pt>
                <c:pt idx="24">
                  <c:v>-634.31283609282332</c:v>
                </c:pt>
                <c:pt idx="25">
                  <c:v>-634.31283609282332</c:v>
                </c:pt>
                <c:pt idx="26">
                  <c:v>-634.31283609282332</c:v>
                </c:pt>
                <c:pt idx="27">
                  <c:v>-634.31283609282332</c:v>
                </c:pt>
                <c:pt idx="28">
                  <c:v>-634.31283609282332</c:v>
                </c:pt>
                <c:pt idx="29">
                  <c:v>-634.31283609282332</c:v>
                </c:pt>
                <c:pt idx="30">
                  <c:v>-634.31283609282332</c:v>
                </c:pt>
                <c:pt idx="31">
                  <c:v>-634.31283609282332</c:v>
                </c:pt>
                <c:pt idx="32">
                  <c:v>-634.31283609282332</c:v>
                </c:pt>
                <c:pt idx="33">
                  <c:v>-634.31283609282332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DB-47CC-A923-621946F9AEC7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3-45A5-B987-BEF36A65D56C}"/>
            </c:ext>
          </c:extLst>
        </c:ser>
        <c:ser>
          <c:idx val="8"/>
          <c:order val="7"/>
          <c:tx>
            <c:strRef>
              <c:f>'Figures in Paper'!$B$180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Paper'!$C$180:$AJ$180</c:f>
              <c:numCache>
                <c:formatCode>General</c:formatCode>
                <c:ptCount val="34"/>
                <c:pt idx="7">
                  <c:v>-655.97788192523842</c:v>
                </c:pt>
                <c:pt idx="8">
                  <c:v>-689.85469786056024</c:v>
                </c:pt>
                <c:pt idx="9">
                  <c:v>-720.3437611763411</c:v>
                </c:pt>
                <c:pt idx="10">
                  <c:v>-748.52657623885375</c:v>
                </c:pt>
                <c:pt idx="11">
                  <c:v>-776.89952835228542</c:v>
                </c:pt>
                <c:pt idx="12">
                  <c:v>-804.91546505600468</c:v>
                </c:pt>
                <c:pt idx="13">
                  <c:v>-800.85107434150291</c:v>
                </c:pt>
                <c:pt idx="14">
                  <c:v>-799.25053560304639</c:v>
                </c:pt>
                <c:pt idx="15">
                  <c:v>-799.62987801985639</c:v>
                </c:pt>
                <c:pt idx="16">
                  <c:v>-800.33382021066836</c:v>
                </c:pt>
                <c:pt idx="17">
                  <c:v>-801.67984510280019</c:v>
                </c:pt>
                <c:pt idx="18">
                  <c:v>-804.34753894686014</c:v>
                </c:pt>
                <c:pt idx="19">
                  <c:v>-807.62511529765015</c:v>
                </c:pt>
                <c:pt idx="20">
                  <c:v>-811.38116768513964</c:v>
                </c:pt>
                <c:pt idx="21">
                  <c:v>-814.9688415419929</c:v>
                </c:pt>
                <c:pt idx="22">
                  <c:v>-818.84177639409722</c:v>
                </c:pt>
                <c:pt idx="23">
                  <c:v>-823.17970734209962</c:v>
                </c:pt>
                <c:pt idx="24">
                  <c:v>-827.59710790886538</c:v>
                </c:pt>
                <c:pt idx="25">
                  <c:v>-831.89319501676096</c:v>
                </c:pt>
                <c:pt idx="26">
                  <c:v>-836.22410869261932</c:v>
                </c:pt>
                <c:pt idx="27">
                  <c:v>-840.36532847694878</c:v>
                </c:pt>
                <c:pt idx="28">
                  <c:v>-844.41747044833369</c:v>
                </c:pt>
                <c:pt idx="29">
                  <c:v>-848.38069784517756</c:v>
                </c:pt>
                <c:pt idx="30">
                  <c:v>-852.04666379407456</c:v>
                </c:pt>
                <c:pt idx="31">
                  <c:v>-855.54896124389177</c:v>
                </c:pt>
                <c:pt idx="32">
                  <c:v>-858.91671944147174</c:v>
                </c:pt>
                <c:pt idx="33">
                  <c:v>-862.06999999999994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3-45A5-B987-BEF36A65D56C}"/>
            </c:ext>
          </c:extLst>
        </c:ser>
        <c:ser>
          <c:idx val="7"/>
          <c:order val="8"/>
          <c:tx>
            <c:strRef>
              <c:f>'Figures in Paper'!$B$179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Paper'!$C$179:$AJ$179</c:f>
              <c:numCache>
                <c:formatCode>General</c:formatCode>
                <c:ptCount val="34"/>
                <c:pt idx="7" formatCode="_(&quot;$&quot;* #,##0_);_(&quot;$&quot;* \(#,##0\);_(&quot;$&quot;* &quot;-&quot;_);_(@_)">
                  <c:v>-655.97788192523842</c:v>
                </c:pt>
                <c:pt idx="8" formatCode="_(&quot;$&quot;* #,##0_);_(&quot;$&quot;* \(#,##0\);_(&quot;$&quot;* &quot;-&quot;_);_(@_)">
                  <c:v>-704.63903961653159</c:v>
                </c:pt>
                <c:pt idx="9" formatCode="_(&quot;$&quot;* #,##0_);_(&quot;$&quot;* \(#,##0\);_(&quot;$&quot;* &quot;-&quot;_);_(@_)">
                  <c:v>-749.22117967232646</c:v>
                </c:pt>
                <c:pt idx="10" formatCode="_(&quot;$&quot;* #,##0_);_(&quot;$&quot;* \(#,##0\);_(&quot;$&quot;* &quot;-&quot;_);_(@_)">
                  <c:v>-790.12222616013719</c:v>
                </c:pt>
                <c:pt idx="11" formatCode="_(&quot;$&quot;* #,##0_);_(&quot;$&quot;* \(#,##0\);_(&quot;$&quot;* &quot;-&quot;_);_(@_)">
                  <c:v>-827.64612247892251</c:v>
                </c:pt>
                <c:pt idx="12" formatCode="_(&quot;$&quot;* #,##0_);_(&quot;$&quot;* \(#,##0\);_(&quot;$&quot;* &quot;-&quot;_);_(@_)">
                  <c:v>-862.07171550131716</c:v>
                </c:pt>
                <c:pt idx="13" formatCode="_(&quot;$&quot;* #,##0_);_(&quot;$&quot;* \(#,##0\);_(&quot;$&quot;* &quot;-&quot;_);_(@_)">
                  <c:v>-862.07173540367421</c:v>
                </c:pt>
                <c:pt idx="14" formatCode="_(&quot;$&quot;* #,##0_);_(&quot;$&quot;* \(#,##0\);_(&quot;$&quot;* &quot;-&quot;_);_(@_)">
                  <c:v>-862.07175400462597</c:v>
                </c:pt>
                <c:pt idx="15" formatCode="_(&quot;$&quot;* #,##0_);_(&quot;$&quot;* \(#,##0\);_(&quot;$&quot;* &quot;-&quot;_);_(@_)">
                  <c:v>-862.07177143697163</c:v>
                </c:pt>
                <c:pt idx="16" formatCode="_(&quot;$&quot;* #,##0_);_(&quot;$&quot;* \(#,##0\);_(&quot;$&quot;* &quot;-&quot;_);_(@_)">
                  <c:v>-862.07178772788336</c:v>
                </c:pt>
                <c:pt idx="17" formatCode="_(&quot;$&quot;* #,##0_);_(&quot;$&quot;* \(#,##0\);_(&quot;$&quot;* &quot;-&quot;_);_(@_)">
                  <c:v>-862.07180298278286</c:v>
                </c:pt>
                <c:pt idx="18" formatCode="_(&quot;$&quot;* #,##0_);_(&quot;$&quot;* \(#,##0\);_(&quot;$&quot;* &quot;-&quot;_);_(@_)">
                  <c:v>-862.07181722886855</c:v>
                </c:pt>
                <c:pt idx="19" formatCode="_(&quot;$&quot;* #,##0_);_(&quot;$&quot;* \(#,##0\);_(&quot;$&quot;* &quot;-&quot;_);_(@_)">
                  <c:v>-862.07183055884275</c:v>
                </c:pt>
                <c:pt idx="20" formatCode="_(&quot;$&quot;* #,##0_);_(&quot;$&quot;* \(#,##0\);_(&quot;$&quot;* &quot;-&quot;_);_(@_)">
                  <c:v>-862.07184299204584</c:v>
                </c:pt>
                <c:pt idx="21" formatCode="_(&quot;$&quot;* #,##0_);_(&quot;$&quot;* \(#,##0\);_(&quot;$&quot;* &quot;-&quot;_);_(@_)">
                  <c:v>-862.0718546242357</c:v>
                </c:pt>
                <c:pt idx="22" formatCode="_(&quot;$&quot;* #,##0_);_(&quot;$&quot;* \(#,##0\);_(&quot;$&quot;* &quot;-&quot;_);_(@_)">
                  <c:v>-862.07186546756191</c:v>
                </c:pt>
                <c:pt idx="23" formatCode="_(&quot;$&quot;* #,##0_);_(&quot;$&quot;* \(#,##0\);_(&quot;$&quot;* &quot;-&quot;_);_(@_)">
                  <c:v>-862.07187557854775</c:v>
                </c:pt>
                <c:pt idx="24" formatCode="_(&quot;$&quot;* #,##0_);_(&quot;$&quot;* \(#,##0\);_(&quot;$&quot;* &quot;-&quot;_);_(@_)">
                  <c:v>-862.07188502377471</c:v>
                </c:pt>
                <c:pt idx="25" formatCode="_(&quot;$&quot;* #,##0_);_(&quot;$&quot;* \(#,##0\);_(&quot;$&quot;* &quot;-&quot;_);_(@_)">
                  <c:v>-862.07189368912054</c:v>
                </c:pt>
                <c:pt idx="26" formatCode="_(&quot;$&quot;* #,##0_);_(&quot;$&quot;* \(#,##0\);_(&quot;$&quot;* &quot;-&quot;_);_(@_)">
                  <c:v>-862.07190178559154</c:v>
                </c:pt>
                <c:pt idx="27" formatCode="_(&quot;$&quot;* #,##0_);_(&quot;$&quot;* \(#,##0\);_(&quot;$&quot;* &quot;-&quot;_);_(@_)">
                  <c:v>-862.0719093250699</c:v>
                </c:pt>
                <c:pt idx="28" formatCode="_(&quot;$&quot;* #,##0_);_(&quot;$&quot;* \(#,##0\);_(&quot;$&quot;* &quot;-&quot;_);_(@_)">
                  <c:v>-862.07191636542336</c:v>
                </c:pt>
                <c:pt idx="29" formatCode="_(&quot;$&quot;* #,##0_);_(&quot;$&quot;* \(#,##0\);_(&quot;$&quot;* &quot;-&quot;_);_(@_)">
                  <c:v>-862.07192291833019</c:v>
                </c:pt>
                <c:pt idx="30" formatCode="_(&quot;$&quot;* #,##0_);_(&quot;$&quot;* \(#,##0\);_(&quot;$&quot;* &quot;-&quot;_);_(@_)">
                  <c:v>-862.07192903403529</c:v>
                </c:pt>
                <c:pt idx="31" formatCode="_(&quot;$&quot;* #,##0_);_(&quot;$&quot;* \(#,##0\);_(&quot;$&quot;* &quot;-&quot;_);_(@_)">
                  <c:v>-862.0719347237798</c:v>
                </c:pt>
                <c:pt idx="32" formatCode="_(&quot;$&quot;* #,##0_);_(&quot;$&quot;* \(#,##0\);_(&quot;$&quot;* &quot;-&quot;_);_(@_)">
                  <c:v>-862.07194002859103</c:v>
                </c:pt>
                <c:pt idx="33" formatCode="_(&quot;$&quot;* #,##0_);_(&quot;$&quot;* \(#,##0\);_(&quot;$&quot;* &quot;-&quot;_);_(@_)">
                  <c:v>-862.07194496423494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3-45A5-B987-BEF36A65D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2030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131667122994281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F-4C51-8845-75201454C309}"/>
            </c:ext>
          </c:extLst>
        </c:ser>
        <c:ser>
          <c:idx val="3"/>
          <c:order val="1"/>
          <c:tx>
            <c:strRef>
              <c:f>'Figures in Paper'!$B$181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Paper'!$C$181:$AJ$181</c:f>
              <c:numCache>
                <c:formatCode>General</c:formatCode>
                <c:ptCount val="34"/>
                <c:pt idx="12">
                  <c:v>-223.78824203406791</c:v>
                </c:pt>
                <c:pt idx="13">
                  <c:v>-190.52901850496448</c:v>
                </c:pt>
                <c:pt idx="14">
                  <c:v>-161.21223278772908</c:v>
                </c:pt>
                <c:pt idx="15">
                  <c:v>-135.41471692870505</c:v>
                </c:pt>
                <c:pt idx="16">
                  <c:v>-112.16432091067161</c:v>
                </c:pt>
                <c:pt idx="17">
                  <c:v>-91.651660716181738</c:v>
                </c:pt>
                <c:pt idx="18">
                  <c:v>-76.105304806715267</c:v>
                </c:pt>
                <c:pt idx="19">
                  <c:v>-65.265346478688329</c:v>
                </c:pt>
                <c:pt idx="20">
                  <c:v>-56.130508789431097</c:v>
                </c:pt>
                <c:pt idx="21">
                  <c:v>-48.25034950102939</c:v>
                </c:pt>
                <c:pt idx="22">
                  <c:v>-41.341910918834785</c:v>
                </c:pt>
                <c:pt idx="23">
                  <c:v>-35.359231544677911</c:v>
                </c:pt>
                <c:pt idx="24">
                  <c:v>-30.401763939233504</c:v>
                </c:pt>
                <c:pt idx="25">
                  <c:v>-26.338777941698936</c:v>
                </c:pt>
                <c:pt idx="26">
                  <c:v>-22.901083553619202</c:v>
                </c:pt>
                <c:pt idx="27">
                  <c:v>-20.102647408317836</c:v>
                </c:pt>
                <c:pt idx="28">
                  <c:v>-17.886382434903773</c:v>
                </c:pt>
                <c:pt idx="29">
                  <c:v>-16.114515375956479</c:v>
                </c:pt>
                <c:pt idx="30">
                  <c:v>-14.642261351701457</c:v>
                </c:pt>
                <c:pt idx="31">
                  <c:v>-13.462921636742127</c:v>
                </c:pt>
                <c:pt idx="32">
                  <c:v>-12.580118872030681</c:v>
                </c:pt>
                <c:pt idx="33">
                  <c:v>-11.889999999999983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F-4C51-8845-75201454C309}"/>
            </c:ext>
          </c:extLst>
        </c:ser>
        <c:ser>
          <c:idx val="2"/>
          <c:order val="2"/>
          <c:tx>
            <c:strRef>
              <c:f>'Figures in Paper'!$B$183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Paper'!$C$183:$AJ$183</c:f>
              <c:numCache>
                <c:formatCode>General</c:formatCode>
                <c:ptCount val="34"/>
                <c:pt idx="12">
                  <c:v>-223.78824203406791</c:v>
                </c:pt>
                <c:pt idx="13">
                  <c:v>-223.78824203406791</c:v>
                </c:pt>
                <c:pt idx="14">
                  <c:v>-223.78824203406791</c:v>
                </c:pt>
                <c:pt idx="15">
                  <c:v>-223.78824203406791</c:v>
                </c:pt>
                <c:pt idx="16">
                  <c:v>-223.78824203406791</c:v>
                </c:pt>
                <c:pt idx="17">
                  <c:v>-223.78824203406791</c:v>
                </c:pt>
                <c:pt idx="18">
                  <c:v>-223.78824203406791</c:v>
                </c:pt>
                <c:pt idx="19">
                  <c:v>-223.78824203406791</c:v>
                </c:pt>
                <c:pt idx="20">
                  <c:v>-223.78824203406791</c:v>
                </c:pt>
                <c:pt idx="21">
                  <c:v>-223.78824203406791</c:v>
                </c:pt>
                <c:pt idx="22">
                  <c:v>-223.78824203406791</c:v>
                </c:pt>
                <c:pt idx="23">
                  <c:v>-223.78824203406791</c:v>
                </c:pt>
                <c:pt idx="24">
                  <c:v>-223.78824203406791</c:v>
                </c:pt>
                <c:pt idx="25">
                  <c:v>-223.78824203406791</c:v>
                </c:pt>
                <c:pt idx="26">
                  <c:v>-223.78824203406791</c:v>
                </c:pt>
                <c:pt idx="27">
                  <c:v>-223.78824203406791</c:v>
                </c:pt>
                <c:pt idx="28">
                  <c:v>-223.78824203406791</c:v>
                </c:pt>
                <c:pt idx="29">
                  <c:v>-223.78824203406791</c:v>
                </c:pt>
                <c:pt idx="30">
                  <c:v>-223.78824203406791</c:v>
                </c:pt>
                <c:pt idx="31">
                  <c:v>-223.78824203406791</c:v>
                </c:pt>
                <c:pt idx="32">
                  <c:v>-223.78824203406791</c:v>
                </c:pt>
                <c:pt idx="33">
                  <c:v>-223.78824203406791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F-4C51-8845-75201454C309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F-4C51-8845-75201454C309}"/>
            </c:ext>
          </c:extLst>
        </c:ser>
        <c:ser>
          <c:idx val="4"/>
          <c:order val="4"/>
          <c:tx>
            <c:strRef>
              <c:f>'Figures in Paper'!$B$182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Paper'!$C$182:$AJ$182</c:f>
              <c:numCache>
                <c:formatCode>General</c:formatCode>
                <c:ptCount val="34"/>
                <c:pt idx="12">
                  <c:v>-423.70067107521584</c:v>
                </c:pt>
                <c:pt idx="13">
                  <c:v>-403.59640152920275</c:v>
                </c:pt>
                <c:pt idx="14">
                  <c:v>-387.51654666773794</c:v>
                </c:pt>
                <c:pt idx="15">
                  <c:v>-374.85911040698102</c:v>
                </c:pt>
                <c:pt idx="16">
                  <c:v>-363.85852724867607</c:v>
                </c:pt>
                <c:pt idx="17">
                  <c:v>-354.72929864074604</c:v>
                </c:pt>
                <c:pt idx="18">
                  <c:v>-348.05492229207829</c:v>
                </c:pt>
                <c:pt idx="19">
                  <c:v>-343.03401310162178</c:v>
                </c:pt>
                <c:pt idx="20">
                  <c:v>-339.45168025503921</c:v>
                </c:pt>
                <c:pt idx="21">
                  <c:v>-336.58333084848556</c:v>
                </c:pt>
                <c:pt idx="22">
                  <c:v>-334.81027098421521</c:v>
                </c:pt>
                <c:pt idx="23">
                  <c:v>-334.24497372435479</c:v>
                </c:pt>
                <c:pt idx="24">
                  <c:v>-334.43940967580465</c:v>
                </c:pt>
                <c:pt idx="25">
                  <c:v>-335.29947241875425</c:v>
                </c:pt>
                <c:pt idx="26">
                  <c:v>-336.7491266446508</c:v>
                </c:pt>
                <c:pt idx="27">
                  <c:v>-338.5150312119963</c:v>
                </c:pt>
                <c:pt idx="28">
                  <c:v>-340.65254945966973</c:v>
                </c:pt>
                <c:pt idx="29">
                  <c:v>-343.1199321480878</c:v>
                </c:pt>
                <c:pt idx="30">
                  <c:v>-345.67003980725315</c:v>
                </c:pt>
                <c:pt idx="31">
                  <c:v>-348.40058964617009</c:v>
                </c:pt>
                <c:pt idx="32">
                  <c:v>-351.30755613564202</c:v>
                </c:pt>
                <c:pt idx="33">
                  <c:v>-354.28000000000003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F-4C51-8845-75201454C309}"/>
            </c:ext>
          </c:extLst>
        </c:ser>
        <c:ser>
          <c:idx val="5"/>
          <c:order val="5"/>
          <c:tx>
            <c:strRef>
              <c:f>'Figures in Paper'!$B$184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Paper'!$C$184:$AJ$184</c:f>
              <c:numCache>
                <c:formatCode>General</c:formatCode>
                <c:ptCount val="34"/>
                <c:pt idx="12">
                  <c:v>-423.70067107521584</c:v>
                </c:pt>
                <c:pt idx="13">
                  <c:v>-423.70067107521584</c:v>
                </c:pt>
                <c:pt idx="14">
                  <c:v>-423.70067107521584</c:v>
                </c:pt>
                <c:pt idx="15">
                  <c:v>-423.70067107521584</c:v>
                </c:pt>
                <c:pt idx="16">
                  <c:v>-423.70067107521584</c:v>
                </c:pt>
                <c:pt idx="17">
                  <c:v>-423.70067107521584</c:v>
                </c:pt>
                <c:pt idx="18">
                  <c:v>-423.70067107521584</c:v>
                </c:pt>
                <c:pt idx="19">
                  <c:v>-423.70067107521584</c:v>
                </c:pt>
                <c:pt idx="20">
                  <c:v>-423.70067107521584</c:v>
                </c:pt>
                <c:pt idx="21">
                  <c:v>-423.70067107521584</c:v>
                </c:pt>
                <c:pt idx="22">
                  <c:v>-423.70067107521584</c:v>
                </c:pt>
                <c:pt idx="23">
                  <c:v>-423.70067107521584</c:v>
                </c:pt>
                <c:pt idx="24">
                  <c:v>-423.70067107521584</c:v>
                </c:pt>
                <c:pt idx="25">
                  <c:v>-423.70067107521584</c:v>
                </c:pt>
                <c:pt idx="26">
                  <c:v>-423.70067107521584</c:v>
                </c:pt>
                <c:pt idx="27">
                  <c:v>-423.70067107521584</c:v>
                </c:pt>
                <c:pt idx="28">
                  <c:v>-423.70067107521584</c:v>
                </c:pt>
                <c:pt idx="29">
                  <c:v>-423.70067107521584</c:v>
                </c:pt>
                <c:pt idx="30">
                  <c:v>-423.70067107521584</c:v>
                </c:pt>
                <c:pt idx="31">
                  <c:v>-423.70067107521584</c:v>
                </c:pt>
                <c:pt idx="32">
                  <c:v>-423.70067107521584</c:v>
                </c:pt>
                <c:pt idx="33">
                  <c:v>-423.70067107521584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F-4C51-8845-75201454C309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9F-4C51-8845-75201454C309}"/>
            </c:ext>
          </c:extLst>
        </c:ser>
        <c:ser>
          <c:idx val="8"/>
          <c:order val="7"/>
          <c:tx>
            <c:strRef>
              <c:f>'Figures in Paper'!$B$186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Paper'!$C$186:$AJ$186</c:f>
              <c:numCache>
                <c:formatCode>General</c:formatCode>
                <c:ptCount val="34"/>
                <c:pt idx="12">
                  <c:v>-878.90574962968583</c:v>
                </c:pt>
                <c:pt idx="13">
                  <c:v>-869.2037988508639</c:v>
                </c:pt>
                <c:pt idx="14">
                  <c:v>-862.43118665890267</c:v>
                </c:pt>
                <c:pt idx="15">
                  <c:v>-858.06550755873593</c:v>
                </c:pt>
                <c:pt idx="16">
                  <c:v>-854.41621900002792</c:v>
                </c:pt>
                <c:pt idx="17">
                  <c:v>-851.76845421370103</c:v>
                </c:pt>
                <c:pt idx="18">
                  <c:v>-850.77212082981725</c:v>
                </c:pt>
                <c:pt idx="19">
                  <c:v>-850.68820431093411</c:v>
                </c:pt>
                <c:pt idx="20">
                  <c:v>-851.36031828587943</c:v>
                </c:pt>
                <c:pt idx="21">
                  <c:v>-852.11869084682053</c:v>
                </c:pt>
                <c:pt idx="22">
                  <c:v>-853.39593643662022</c:v>
                </c:pt>
                <c:pt idx="23">
                  <c:v>-855.35250108893024</c:v>
                </c:pt>
                <c:pt idx="24">
                  <c:v>-857.58516193487742</c:v>
                </c:pt>
                <c:pt idx="25">
                  <c:v>-859.87690067504946</c:v>
                </c:pt>
                <c:pt idx="26">
                  <c:v>-862.36896263739993</c:v>
                </c:pt>
                <c:pt idx="27">
                  <c:v>-864.82316250107999</c:v>
                </c:pt>
                <c:pt idx="28">
                  <c:v>-867.32757977462143</c:v>
                </c:pt>
                <c:pt idx="29">
                  <c:v>-869.87087625601259</c:v>
                </c:pt>
                <c:pt idx="30">
                  <c:v>-872.23415329165016</c:v>
                </c:pt>
                <c:pt idx="31">
                  <c:v>-874.54132329811011</c:v>
                </c:pt>
                <c:pt idx="32">
                  <c:v>-876.81263429994942</c:v>
                </c:pt>
                <c:pt idx="33">
                  <c:v>-878.95999999999992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9F-4C51-8845-75201454C309}"/>
            </c:ext>
          </c:extLst>
        </c:ser>
        <c:ser>
          <c:idx val="7"/>
          <c:order val="8"/>
          <c:tx>
            <c:strRef>
              <c:f>'Figures in Paper'!$B$185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Paper'!$C$185:$AJ$185</c:f>
              <c:numCache>
                <c:formatCode>General</c:formatCode>
                <c:ptCount val="34"/>
                <c:pt idx="12">
                  <c:v>-878.90574962968583</c:v>
                </c:pt>
                <c:pt idx="13">
                  <c:v>-878.95518031089375</c:v>
                </c:pt>
                <c:pt idx="14">
                  <c:v>-878.95519891184551</c:v>
                </c:pt>
                <c:pt idx="15">
                  <c:v>-878.95521634419117</c:v>
                </c:pt>
                <c:pt idx="16">
                  <c:v>-878.9552326351029</c:v>
                </c:pt>
                <c:pt idx="17">
                  <c:v>-878.9552478900024</c:v>
                </c:pt>
                <c:pt idx="18">
                  <c:v>-878.95526213608809</c:v>
                </c:pt>
                <c:pt idx="19">
                  <c:v>-878.95527546606229</c:v>
                </c:pt>
                <c:pt idx="20">
                  <c:v>-878.95528789926539</c:v>
                </c:pt>
                <c:pt idx="21">
                  <c:v>-878.95529953145524</c:v>
                </c:pt>
                <c:pt idx="22">
                  <c:v>-878.95531037478145</c:v>
                </c:pt>
                <c:pt idx="23">
                  <c:v>-878.95532048576729</c:v>
                </c:pt>
                <c:pt idx="24">
                  <c:v>-878.95532993099425</c:v>
                </c:pt>
                <c:pt idx="25">
                  <c:v>-878.95533859634008</c:v>
                </c:pt>
                <c:pt idx="26">
                  <c:v>-878.95534669281108</c:v>
                </c:pt>
                <c:pt idx="27">
                  <c:v>-878.95535423228944</c:v>
                </c:pt>
                <c:pt idx="28">
                  <c:v>-878.9553612726429</c:v>
                </c:pt>
                <c:pt idx="29">
                  <c:v>-878.95536782554973</c:v>
                </c:pt>
                <c:pt idx="30">
                  <c:v>-878.95537394125483</c:v>
                </c:pt>
                <c:pt idx="31">
                  <c:v>-878.95537963099935</c:v>
                </c:pt>
                <c:pt idx="32">
                  <c:v>-878.95538493581057</c:v>
                </c:pt>
                <c:pt idx="33">
                  <c:v>-878.95538987145449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9F-4C51-8845-75201454C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2035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878919939215603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1-465C-B9DA-A8C6AE1DFF64}"/>
            </c:ext>
          </c:extLst>
        </c:ser>
        <c:ser>
          <c:idx val="3"/>
          <c:order val="1"/>
          <c:tx>
            <c:strRef>
              <c:f>'Figures in Paper'!$B$187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Paper'!$C$187:$AJ$187</c:f>
              <c:numCache>
                <c:formatCode>General</c:formatCode>
                <c:ptCount val="34"/>
                <c:pt idx="17">
                  <c:v>-74.38960303813171</c:v>
                </c:pt>
                <c:pt idx="18">
                  <c:v>-60.748406743377629</c:v>
                </c:pt>
                <c:pt idx="19">
                  <c:v>-51.656301272885003</c:v>
                </c:pt>
                <c:pt idx="20">
                  <c:v>-44.124998315310613</c:v>
                </c:pt>
                <c:pt idx="21">
                  <c:v>-37.715971808269316</c:v>
                </c:pt>
                <c:pt idx="22">
                  <c:v>-32.157196328240218</c:v>
                </c:pt>
                <c:pt idx="23">
                  <c:v>-27.412739983592985</c:v>
                </c:pt>
                <c:pt idx="24">
                  <c:v>-23.591256808891373</c:v>
                </c:pt>
                <c:pt idx="25">
                  <c:v>-20.570458362496986</c:v>
                </c:pt>
                <c:pt idx="26">
                  <c:v>-18.088899342435759</c:v>
                </c:pt>
                <c:pt idx="27">
                  <c:v>-16.167651608160554</c:v>
                </c:pt>
                <c:pt idx="28">
                  <c:v>-14.756146644862227</c:v>
                </c:pt>
                <c:pt idx="29">
                  <c:v>-13.722591521800933</c:v>
                </c:pt>
                <c:pt idx="30">
                  <c:v>-12.92768789744132</c:v>
                </c:pt>
                <c:pt idx="31">
                  <c:v>-12.369770567707139</c:v>
                </c:pt>
                <c:pt idx="32">
                  <c:v>-12.057080083018768</c:v>
                </c:pt>
                <c:pt idx="33">
                  <c:v>-11.890000000000061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41-465C-B9DA-A8C6AE1DFF64}"/>
            </c:ext>
          </c:extLst>
        </c:ser>
        <c:ser>
          <c:idx val="2"/>
          <c:order val="2"/>
          <c:tx>
            <c:strRef>
              <c:f>'Figures in Paper'!$B$189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Paper'!$C$189:$AJ$189</c:f>
              <c:numCache>
                <c:formatCode>General</c:formatCode>
                <c:ptCount val="34"/>
                <c:pt idx="17">
                  <c:v>-74.38960303813171</c:v>
                </c:pt>
                <c:pt idx="18">
                  <c:v>-74.38960303813171</c:v>
                </c:pt>
                <c:pt idx="19">
                  <c:v>-74.38960303813171</c:v>
                </c:pt>
                <c:pt idx="20">
                  <c:v>-74.38960303813171</c:v>
                </c:pt>
                <c:pt idx="21">
                  <c:v>-74.38960303813171</c:v>
                </c:pt>
                <c:pt idx="22">
                  <c:v>-74.38960303813171</c:v>
                </c:pt>
                <c:pt idx="23">
                  <c:v>-74.38960303813171</c:v>
                </c:pt>
                <c:pt idx="24">
                  <c:v>-74.38960303813171</c:v>
                </c:pt>
                <c:pt idx="25">
                  <c:v>-74.38960303813171</c:v>
                </c:pt>
                <c:pt idx="26">
                  <c:v>-74.38960303813171</c:v>
                </c:pt>
                <c:pt idx="27">
                  <c:v>-74.38960303813171</c:v>
                </c:pt>
                <c:pt idx="28">
                  <c:v>-74.38960303813171</c:v>
                </c:pt>
                <c:pt idx="29">
                  <c:v>-74.38960303813171</c:v>
                </c:pt>
                <c:pt idx="30">
                  <c:v>-74.38960303813171</c:v>
                </c:pt>
                <c:pt idx="31">
                  <c:v>-74.38960303813171</c:v>
                </c:pt>
                <c:pt idx="32">
                  <c:v>-74.38960303813171</c:v>
                </c:pt>
                <c:pt idx="33">
                  <c:v>-74.38960303813171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41-465C-B9DA-A8C6AE1DFF64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41-465C-B9DA-A8C6AE1DFF64}"/>
            </c:ext>
          </c:extLst>
        </c:ser>
        <c:ser>
          <c:idx val="4"/>
          <c:order val="4"/>
          <c:tx>
            <c:strRef>
              <c:f>'Figures in Paper'!$B$188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Paper'!$C$188:$AJ$188</c:f>
              <c:numCache>
                <c:formatCode>General</c:formatCode>
                <c:ptCount val="34"/>
                <c:pt idx="17">
                  <c:v>-332.63121405600623</c:v>
                </c:pt>
                <c:pt idx="18">
                  <c:v>-326.00629140925184</c:v>
                </c:pt>
                <c:pt idx="19">
                  <c:v>-321.03075258752318</c:v>
                </c:pt>
                <c:pt idx="20">
                  <c:v>-317.49004393243405</c:v>
                </c:pt>
                <c:pt idx="21">
                  <c:v>-314.65988185752576</c:v>
                </c:pt>
                <c:pt idx="22">
                  <c:v>-312.92185624247134</c:v>
                </c:pt>
                <c:pt idx="23">
                  <c:v>-312.38870049565304</c:v>
                </c:pt>
                <c:pt idx="24">
                  <c:v>-312.6126240737471</c:v>
                </c:pt>
                <c:pt idx="25">
                  <c:v>-313.49973968517759</c:v>
                </c:pt>
                <c:pt idx="26">
                  <c:v>-314.97421305646941</c:v>
                </c:pt>
                <c:pt idx="27">
                  <c:v>-316.76288748197578</c:v>
                </c:pt>
                <c:pt idx="28">
                  <c:v>-318.92129550777838</c:v>
                </c:pt>
                <c:pt idx="29">
                  <c:v>-321.40784313025995</c:v>
                </c:pt>
                <c:pt idx="30">
                  <c:v>-323.97553329774041</c:v>
                </c:pt>
                <c:pt idx="31">
                  <c:v>-326.72221387823089</c:v>
                </c:pt>
                <c:pt idx="32">
                  <c:v>-329.64397921318312</c:v>
                </c:pt>
                <c:pt idx="33">
                  <c:v>-332.63000000000011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41-465C-B9DA-A8C6AE1DFF64}"/>
            </c:ext>
          </c:extLst>
        </c:ser>
        <c:ser>
          <c:idx val="5"/>
          <c:order val="5"/>
          <c:tx>
            <c:strRef>
              <c:f>'Figures in Paper'!$B$190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Paper'!$C$190:$AJ$190</c:f>
              <c:numCache>
                <c:formatCode>General</c:formatCode>
                <c:ptCount val="34"/>
                <c:pt idx="17">
                  <c:v>-332.63121405600623</c:v>
                </c:pt>
                <c:pt idx="18">
                  <c:v>-332.63121405600623</c:v>
                </c:pt>
                <c:pt idx="19">
                  <c:v>-332.63121405600623</c:v>
                </c:pt>
                <c:pt idx="20">
                  <c:v>-332.63121405600623</c:v>
                </c:pt>
                <c:pt idx="21">
                  <c:v>-332.63121405600623</c:v>
                </c:pt>
                <c:pt idx="22">
                  <c:v>-332.63121405600623</c:v>
                </c:pt>
                <c:pt idx="23">
                  <c:v>-332.63121405600623</c:v>
                </c:pt>
                <c:pt idx="24">
                  <c:v>-332.63121405600623</c:v>
                </c:pt>
                <c:pt idx="25">
                  <c:v>-332.63121405600623</c:v>
                </c:pt>
                <c:pt idx="26">
                  <c:v>-332.63121405600623</c:v>
                </c:pt>
                <c:pt idx="27">
                  <c:v>-332.63121405600623</c:v>
                </c:pt>
                <c:pt idx="28">
                  <c:v>-332.63121405600623</c:v>
                </c:pt>
                <c:pt idx="29">
                  <c:v>-332.63121405600623</c:v>
                </c:pt>
                <c:pt idx="30">
                  <c:v>-332.63121405600623</c:v>
                </c:pt>
                <c:pt idx="31">
                  <c:v>-332.63121405600623</c:v>
                </c:pt>
                <c:pt idx="32">
                  <c:v>-332.63121405600623</c:v>
                </c:pt>
                <c:pt idx="33">
                  <c:v>-332.63121405600623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41-465C-B9DA-A8C6AE1DFF64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41-465C-B9DA-A8C6AE1DFF64}"/>
            </c:ext>
          </c:extLst>
        </c:ser>
        <c:ser>
          <c:idx val="8"/>
          <c:order val="7"/>
          <c:tx>
            <c:strRef>
              <c:f>'Figures in Paper'!$B$192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Paper'!$C$192:$AJ$192</c:f>
              <c:numCache>
                <c:formatCode>General</c:formatCode>
                <c:ptCount val="34"/>
                <c:pt idx="17">
                  <c:v>-946.37395124562352</c:v>
                </c:pt>
                <c:pt idx="18">
                  <c:v>-942.3805501176987</c:v>
                </c:pt>
                <c:pt idx="19">
                  <c:v>-939.54703016391545</c:v>
                </c:pt>
                <c:pt idx="20">
                  <c:v>-937.69657218023679</c:v>
                </c:pt>
                <c:pt idx="21">
                  <c:v>-936.1406585406055</c:v>
                </c:pt>
                <c:pt idx="22">
                  <c:v>-935.29470578125608</c:v>
                </c:pt>
                <c:pt idx="23">
                  <c:v>-935.30338203985139</c:v>
                </c:pt>
                <c:pt idx="24">
                  <c:v>-935.74898931358325</c:v>
                </c:pt>
                <c:pt idx="25">
                  <c:v>-936.40122936364946</c:v>
                </c:pt>
                <c:pt idx="26">
                  <c:v>-937.38916408737077</c:v>
                </c:pt>
                <c:pt idx="27">
                  <c:v>-938.46343070460205</c:v>
                </c:pt>
                <c:pt idx="28">
                  <c:v>-939.70185417406196</c:v>
                </c:pt>
                <c:pt idx="29">
                  <c:v>-941.08368844987376</c:v>
                </c:pt>
                <c:pt idx="30">
                  <c:v>-942.38140382901656</c:v>
                </c:pt>
                <c:pt idx="31">
                  <c:v>-943.71099433410507</c:v>
                </c:pt>
                <c:pt idx="32">
                  <c:v>-945.08544340808078</c:v>
                </c:pt>
                <c:pt idx="33">
                  <c:v>-946.40999999999951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41-465C-B9DA-A8C6AE1DFF64}"/>
            </c:ext>
          </c:extLst>
        </c:ser>
        <c:ser>
          <c:idx val="7"/>
          <c:order val="8"/>
          <c:tx>
            <c:strRef>
              <c:f>'Figures in Paper'!$B$191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Paper'!$C$191:$AJ$191</c:f>
              <c:numCache>
                <c:formatCode>General</c:formatCode>
                <c:ptCount val="34"/>
                <c:pt idx="17">
                  <c:v>-946.37395124562352</c:v>
                </c:pt>
                <c:pt idx="18">
                  <c:v>-946.41006880579891</c:v>
                </c:pt>
                <c:pt idx="19">
                  <c:v>-946.41008213577311</c:v>
                </c:pt>
                <c:pt idx="20">
                  <c:v>-946.41009456897621</c:v>
                </c:pt>
                <c:pt idx="21">
                  <c:v>-946.41010620116606</c:v>
                </c:pt>
                <c:pt idx="22">
                  <c:v>-946.41011704449227</c:v>
                </c:pt>
                <c:pt idx="23">
                  <c:v>-946.41012715547811</c:v>
                </c:pt>
                <c:pt idx="24">
                  <c:v>-946.41013660070507</c:v>
                </c:pt>
                <c:pt idx="25">
                  <c:v>-946.4101452660509</c:v>
                </c:pt>
                <c:pt idx="26">
                  <c:v>-946.4101533625219</c:v>
                </c:pt>
                <c:pt idx="27">
                  <c:v>-946.41016090200026</c:v>
                </c:pt>
                <c:pt idx="28">
                  <c:v>-946.41016794235372</c:v>
                </c:pt>
                <c:pt idx="29">
                  <c:v>-946.41017449526055</c:v>
                </c:pt>
                <c:pt idx="30">
                  <c:v>-946.41018061096565</c:v>
                </c:pt>
                <c:pt idx="31">
                  <c:v>-946.41018630071017</c:v>
                </c:pt>
                <c:pt idx="32">
                  <c:v>-946.41019160552139</c:v>
                </c:pt>
                <c:pt idx="33">
                  <c:v>-946.41019654116531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41-465C-B9DA-A8C6AE1DF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2040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337708848336314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E-4888-ADB7-EB382FCA22A1}"/>
            </c:ext>
          </c:extLst>
        </c:ser>
        <c:ser>
          <c:idx val="3"/>
          <c:order val="1"/>
          <c:tx>
            <c:strRef>
              <c:f>'Figures in Paper'!$B$193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Paper'!$C$193:$AJ$193</c:f>
              <c:numCache>
                <c:formatCode>General</c:formatCode>
                <c:ptCount val="34"/>
                <c:pt idx="22">
                  <c:v>-20.355616524274538</c:v>
                </c:pt>
                <c:pt idx="23">
                  <c:v>-17.149091829641499</c:v>
                </c:pt>
                <c:pt idx="24">
                  <c:v>-14.738555122842811</c:v>
                </c:pt>
                <c:pt idx="25">
                  <c:v>-13.0122029772768</c:v>
                </c:pt>
                <c:pt idx="26">
                  <c:v>-11.718209370819594</c:v>
                </c:pt>
                <c:pt idx="27">
                  <c:v>-10.886471190309535</c:v>
                </c:pt>
                <c:pt idx="28">
                  <c:v>-10.474516276337035</c:v>
                </c:pt>
                <c:pt idx="29">
                  <c:v>-10.357979547152645</c:v>
                </c:pt>
                <c:pt idx="30">
                  <c:v>-10.420425919193747</c:v>
                </c:pt>
                <c:pt idx="31">
                  <c:v>-10.708338040121664</c:v>
                </c:pt>
                <c:pt idx="32">
                  <c:v>-11.240526425014671</c:v>
                </c:pt>
                <c:pt idx="33">
                  <c:v>-11.890000000000146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6E-4888-ADB7-EB382FCA22A1}"/>
            </c:ext>
          </c:extLst>
        </c:ser>
        <c:ser>
          <c:idx val="2"/>
          <c:order val="2"/>
          <c:tx>
            <c:strRef>
              <c:f>'Figures in Paper'!$B$195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Paper'!$C$195:$AJ$195</c:f>
              <c:numCache>
                <c:formatCode>General</c:formatCode>
                <c:ptCount val="34"/>
                <c:pt idx="22">
                  <c:v>-20.355616524274538</c:v>
                </c:pt>
                <c:pt idx="23">
                  <c:v>-20.355616524274538</c:v>
                </c:pt>
                <c:pt idx="24">
                  <c:v>-20.355616524274538</c:v>
                </c:pt>
                <c:pt idx="25">
                  <c:v>-20.355616524274538</c:v>
                </c:pt>
                <c:pt idx="26">
                  <c:v>-20.355616524274538</c:v>
                </c:pt>
                <c:pt idx="27">
                  <c:v>-20.355616524274538</c:v>
                </c:pt>
                <c:pt idx="28">
                  <c:v>-20.355616524274538</c:v>
                </c:pt>
                <c:pt idx="29">
                  <c:v>-20.355616524274538</c:v>
                </c:pt>
                <c:pt idx="30">
                  <c:v>-20.355616524274538</c:v>
                </c:pt>
                <c:pt idx="31">
                  <c:v>-20.355616524274538</c:v>
                </c:pt>
                <c:pt idx="32">
                  <c:v>-20.355616524274538</c:v>
                </c:pt>
                <c:pt idx="33">
                  <c:v>-20.355616524274538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6E-4888-ADB7-EB382FCA22A1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6E-4888-ADB7-EB382FCA22A1}"/>
            </c:ext>
          </c:extLst>
        </c:ser>
        <c:ser>
          <c:idx val="4"/>
          <c:order val="4"/>
          <c:tx>
            <c:strRef>
              <c:f>'Figures in Paper'!$B$194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Paper'!$C$194:$AJ$194</c:f>
              <c:numCache>
                <c:formatCode>General</c:formatCode>
                <c:ptCount val="34"/>
                <c:pt idx="22">
                  <c:v>-308.43731825716611</c:v>
                </c:pt>
                <c:pt idx="23">
                  <c:v>-305.16111189398208</c:v>
                </c:pt>
                <c:pt idx="24">
                  <c:v>-302.93951154432432</c:v>
                </c:pt>
                <c:pt idx="25">
                  <c:v>-301.88322172115295</c:v>
                </c:pt>
                <c:pt idx="26">
                  <c:v>-301.40497862642258</c:v>
                </c:pt>
                <c:pt idx="27">
                  <c:v>-301.29013178916074</c:v>
                </c:pt>
                <c:pt idx="28">
                  <c:v>-301.66574512518224</c:v>
                </c:pt>
                <c:pt idx="29">
                  <c:v>-302.51670128914901</c:v>
                </c:pt>
                <c:pt idx="30">
                  <c:v>-303.58384883413885</c:v>
                </c:pt>
                <c:pt idx="31">
                  <c:v>-304.95388480683977</c:v>
                </c:pt>
                <c:pt idx="32">
                  <c:v>-306.61267343739792</c:v>
                </c:pt>
                <c:pt idx="33">
                  <c:v>-308.44000000000011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6E-4888-ADB7-EB382FCA22A1}"/>
            </c:ext>
          </c:extLst>
        </c:ser>
        <c:ser>
          <c:idx val="5"/>
          <c:order val="5"/>
          <c:tx>
            <c:strRef>
              <c:f>'Figures in Paper'!$B$196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Paper'!$C$196:$AJ$196</c:f>
              <c:numCache>
                <c:formatCode>General</c:formatCode>
                <c:ptCount val="34"/>
                <c:pt idx="22">
                  <c:v>-308.43731825716611</c:v>
                </c:pt>
                <c:pt idx="23">
                  <c:v>-308.43731825716611</c:v>
                </c:pt>
                <c:pt idx="24">
                  <c:v>-308.43731825716611</c:v>
                </c:pt>
                <c:pt idx="25">
                  <c:v>-308.43731825716611</c:v>
                </c:pt>
                <c:pt idx="26">
                  <c:v>-308.43731825716611</c:v>
                </c:pt>
                <c:pt idx="27">
                  <c:v>-308.43731825716611</c:v>
                </c:pt>
                <c:pt idx="28">
                  <c:v>-308.43731825716611</c:v>
                </c:pt>
                <c:pt idx="29">
                  <c:v>-308.43731825716611</c:v>
                </c:pt>
                <c:pt idx="30">
                  <c:v>-308.43731825716611</c:v>
                </c:pt>
                <c:pt idx="31">
                  <c:v>-308.43731825716611</c:v>
                </c:pt>
                <c:pt idx="32">
                  <c:v>-308.43731825716611</c:v>
                </c:pt>
                <c:pt idx="33">
                  <c:v>-308.43731825716611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6E-4888-ADB7-EB382FCA22A1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6E-4888-ADB7-EB382FCA22A1}"/>
            </c:ext>
          </c:extLst>
        </c:ser>
        <c:ser>
          <c:idx val="8"/>
          <c:order val="7"/>
          <c:tx>
            <c:strRef>
              <c:f>'Figures in Paper'!$B$198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Paper'!$C$198:$AJ$198</c:f>
              <c:numCache>
                <c:formatCode>General</c:formatCode>
                <c:ptCount val="34"/>
                <c:pt idx="22">
                  <c:v>-1027.2452795197667</c:v>
                </c:pt>
                <c:pt idx="23">
                  <c:v>-1025.7587973084885</c:v>
                </c:pt>
                <c:pt idx="24">
                  <c:v>-1024.8326995639877</c:v>
                </c:pt>
                <c:pt idx="25">
                  <c:v>-1024.2264946431983</c:v>
                </c:pt>
                <c:pt idx="26">
                  <c:v>-1024.0598926964099</c:v>
                </c:pt>
                <c:pt idx="27">
                  <c:v>-1024.0749513590451</c:v>
                </c:pt>
                <c:pt idx="28">
                  <c:v>-1024.3416244114444</c:v>
                </c:pt>
                <c:pt idx="29">
                  <c:v>-1024.8319445431639</c:v>
                </c:pt>
                <c:pt idx="30">
                  <c:v>-1025.3117570378183</c:v>
                </c:pt>
                <c:pt idx="31">
                  <c:v>-1025.8909779241103</c:v>
                </c:pt>
                <c:pt idx="32">
                  <c:v>-1026.5770145037773</c:v>
                </c:pt>
                <c:pt idx="33">
                  <c:v>-1027.2699999999998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6E-4888-ADB7-EB382FCA22A1}"/>
            </c:ext>
          </c:extLst>
        </c:ser>
        <c:ser>
          <c:idx val="7"/>
          <c:order val="8"/>
          <c:tx>
            <c:strRef>
              <c:f>'Figures in Paper'!$B$197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Paper'!$C$197:$AJ$197</c:f>
              <c:numCache>
                <c:formatCode>General</c:formatCode>
                <c:ptCount val="34"/>
                <c:pt idx="22">
                  <c:v>-1027.2452795197667</c:v>
                </c:pt>
                <c:pt idx="23">
                  <c:v>-1027.2713473377412</c:v>
                </c:pt>
                <c:pt idx="24">
                  <c:v>-1027.271356782968</c:v>
                </c:pt>
                <c:pt idx="25">
                  <c:v>-1027.2713654483139</c:v>
                </c:pt>
                <c:pt idx="26">
                  <c:v>-1027.2713735447849</c:v>
                </c:pt>
                <c:pt idx="27">
                  <c:v>-1027.2713810842633</c:v>
                </c:pt>
                <c:pt idx="28">
                  <c:v>-1027.2713881246168</c:v>
                </c:pt>
                <c:pt idx="29">
                  <c:v>-1027.2713946775236</c:v>
                </c:pt>
                <c:pt idx="30">
                  <c:v>-1027.2714007932286</c:v>
                </c:pt>
                <c:pt idx="31">
                  <c:v>-1027.2714064829731</c:v>
                </c:pt>
                <c:pt idx="32">
                  <c:v>-1027.2714117877845</c:v>
                </c:pt>
                <c:pt idx="33">
                  <c:v>-1027.2714167234283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56E-4888-ADB7-EB382FCA2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Social Costs of Greenhouse Gases</a:t>
            </a:r>
          </a:p>
        </c:rich>
      </c:tx>
      <c:layout>
        <c:manualLayout>
          <c:xMode val="edge"/>
          <c:yMode val="edge"/>
          <c:x val="0.21626895998245044"/>
          <c:y val="2.2523261474670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Paper'!$N$10:$X$10</c:f>
              <c:numCache>
                <c:formatCode>0</c:formatCode>
                <c:ptCount val="11"/>
                <c:pt idx="0">
                  <c:v>3122.7055672612569</c:v>
                </c:pt>
                <c:pt idx="1">
                  <c:v>2759.8258543746852</c:v>
                </c:pt>
                <c:pt idx="2">
                  <c:v>2396.2968590551532</c:v>
                </c:pt>
                <c:pt idx="3">
                  <c:v>2031.9426046990432</c:v>
                </c:pt>
                <c:pt idx="4">
                  <c:v>1666.1321708385351</c:v>
                </c:pt>
                <c:pt idx="5">
                  <c:v>1296.6752772468913</c:v>
                </c:pt>
                <c:pt idx="6">
                  <c:v>916.43813816130353</c:v>
                </c:pt>
                <c:pt idx="7">
                  <c:v>536.20099907571478</c:v>
                </c:pt>
                <c:pt idx="8">
                  <c:v>155.96385999012762</c:v>
                </c:pt>
                <c:pt idx="9">
                  <c:v>-224.27327909546057</c:v>
                </c:pt>
                <c:pt idx="10">
                  <c:v>-604.51041818104852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F3D-4456-8820-F0E1F8FCABDF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Paper'!$N$29:$X$29</c:f>
              <c:numCache>
                <c:formatCode>0</c:formatCode>
                <c:ptCount val="11"/>
                <c:pt idx="0">
                  <c:v>2893.3552339561838</c:v>
                </c:pt>
                <c:pt idx="1">
                  <c:v>2550.4007850478915</c:v>
                </c:pt>
                <c:pt idx="2">
                  <c:v>2206.7441316109471</c:v>
                </c:pt>
                <c:pt idx="3">
                  <c:v>1857.9920132998814</c:v>
                </c:pt>
                <c:pt idx="4">
                  <c:v>1502.13884622777</c:v>
                </c:pt>
                <c:pt idx="5">
                  <c:v>1146.2856791556603</c:v>
                </c:pt>
                <c:pt idx="6">
                  <c:v>790.43251208354911</c:v>
                </c:pt>
                <c:pt idx="7">
                  <c:v>434.57934501143734</c:v>
                </c:pt>
                <c:pt idx="8">
                  <c:v>78.726177939328068</c:v>
                </c:pt>
                <c:pt idx="9">
                  <c:v>-277.12698913278268</c:v>
                </c:pt>
                <c:pt idx="10">
                  <c:v>-632.98015620489355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F3D-4456-8820-F0E1F8FCABDF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Paper'!$N$48:$X$48</c:f>
              <c:numCache>
                <c:formatCode>0</c:formatCode>
                <c:ptCount val="11"/>
                <c:pt idx="0">
                  <c:v>2582.1256674146557</c:v>
                </c:pt>
                <c:pt idx="1">
                  <c:v>2263.790263798091</c:v>
                </c:pt>
                <c:pt idx="2">
                  <c:v>1945.4548601815281</c:v>
                </c:pt>
                <c:pt idx="3">
                  <c:v>1627.1194565649644</c:v>
                </c:pt>
                <c:pt idx="4">
                  <c:v>1308.7840529484006</c:v>
                </c:pt>
                <c:pt idx="5">
                  <c:v>990.44864933183851</c:v>
                </c:pt>
                <c:pt idx="6">
                  <c:v>672.11324571527484</c:v>
                </c:pt>
                <c:pt idx="7">
                  <c:v>353.77784209871083</c:v>
                </c:pt>
                <c:pt idx="8">
                  <c:v>35.442438482146144</c:v>
                </c:pt>
                <c:pt idx="9">
                  <c:v>-282.89296513441695</c:v>
                </c:pt>
                <c:pt idx="10">
                  <c:v>-601.22836875098017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F3D-4456-8820-F0E1F8FCABDF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Paper'!$N$67:$X$67</c:f>
              <c:numCache>
                <c:formatCode>0</c:formatCode>
                <c:ptCount val="11"/>
                <c:pt idx="0">
                  <c:v>2098.2350369375531</c:v>
                </c:pt>
                <c:pt idx="1">
                  <c:v>1837.6253629079663</c:v>
                </c:pt>
                <c:pt idx="2">
                  <c:v>1577.0156888783799</c:v>
                </c:pt>
                <c:pt idx="3">
                  <c:v>1316.4060148487918</c:v>
                </c:pt>
                <c:pt idx="4">
                  <c:v>1055.796340819204</c:v>
                </c:pt>
                <c:pt idx="5">
                  <c:v>795.18666678962018</c:v>
                </c:pt>
                <c:pt idx="6">
                  <c:v>534.57699276003041</c:v>
                </c:pt>
                <c:pt idx="7">
                  <c:v>273.96731873044371</c:v>
                </c:pt>
                <c:pt idx="8">
                  <c:v>13.357644700857122</c:v>
                </c:pt>
                <c:pt idx="9">
                  <c:v>-247.25202932873071</c:v>
                </c:pt>
                <c:pt idx="10">
                  <c:v>-507.86170335831753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F3D-4456-8820-F0E1F8FCA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55414573510263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No Emissions Pricing</a:t>
            </a: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Paper'!$N$6:$X$6</c:f>
              <c:numCache>
                <c:formatCode>0</c:formatCode>
                <c:ptCount val="11"/>
                <c:pt idx="0">
                  <c:v>966.63841687808292</c:v>
                </c:pt>
                <c:pt idx="1">
                  <c:v>603.39296860765808</c:v>
                </c:pt>
                <c:pt idx="2">
                  <c:v>240.14752033723323</c:v>
                </c:pt>
                <c:pt idx="3">
                  <c:v>-100.31668252628791</c:v>
                </c:pt>
                <c:pt idx="4">
                  <c:v>-396.33773604914052</c:v>
                </c:pt>
                <c:pt idx="5">
                  <c:v>-693.77862501257277</c:v>
                </c:pt>
                <c:pt idx="6">
                  <c:v>-1039.7399323234997</c:v>
                </c:pt>
                <c:pt idx="7">
                  <c:v>-1419.9770714090891</c:v>
                </c:pt>
                <c:pt idx="8">
                  <c:v>-1800.2142104946761</c:v>
                </c:pt>
                <c:pt idx="9">
                  <c:v>-2180.4513495802639</c:v>
                </c:pt>
                <c:pt idx="10">
                  <c:v>-2560.6884886658509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E5-4BAB-8B73-30C279B07A6C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Paper'!$N$25:$X$25</c:f>
              <c:numCache>
                <c:formatCode>0</c:formatCode>
                <c:ptCount val="11"/>
                <c:pt idx="0">
                  <c:v>932.95788980703787</c:v>
                </c:pt>
                <c:pt idx="1">
                  <c:v>593.00495510402811</c:v>
                </c:pt>
                <c:pt idx="2">
                  <c:v>253.05383012340218</c:v>
                </c:pt>
                <c:pt idx="3">
                  <c:v>-70.815557068643869</c:v>
                </c:pt>
                <c:pt idx="4">
                  <c:v>-347.8532753448161</c:v>
                </c:pt>
                <c:pt idx="5">
                  <c:v>-625.04261893550392</c:v>
                </c:pt>
                <c:pt idx="6">
                  <c:v>-915.92655468536304</c:v>
                </c:pt>
                <c:pt idx="7">
                  <c:v>-1270.7753817424968</c:v>
                </c:pt>
                <c:pt idx="8">
                  <c:v>-1626.6285488146084</c:v>
                </c:pt>
                <c:pt idx="9">
                  <c:v>-1982.4817158867179</c:v>
                </c:pt>
                <c:pt idx="10">
                  <c:v>-2338.3348829588303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FE5-4BAB-8B73-30C279B07A6C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Paper'!$N$44:$X$44</c:f>
              <c:numCache>
                <c:formatCode>0</c:formatCode>
                <c:ptCount val="11"/>
                <c:pt idx="0">
                  <c:v>858.71680064627503</c:v>
                </c:pt>
                <c:pt idx="1">
                  <c:v>554.60687949252588</c:v>
                </c:pt>
                <c:pt idx="2">
                  <c:v>250.49695833877803</c:v>
                </c:pt>
                <c:pt idx="3">
                  <c:v>-43.691024376318026</c:v>
                </c:pt>
                <c:pt idx="4">
                  <c:v>-291.52052829804313</c:v>
                </c:pt>
                <c:pt idx="5">
                  <c:v>-539.35003221976922</c:v>
                </c:pt>
                <c:pt idx="6">
                  <c:v>-790.02147447545337</c:v>
                </c:pt>
                <c:pt idx="7">
                  <c:v>-1072.5434231764923</c:v>
                </c:pt>
                <c:pt idx="8">
                  <c:v>-1390.8788267930565</c:v>
                </c:pt>
                <c:pt idx="9">
                  <c:v>-1709.2142304096183</c:v>
                </c:pt>
                <c:pt idx="10">
                  <c:v>-2027.549634026183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FE5-4BAB-8B73-30C279B07A6C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Paper'!$N$63:$X$63</c:f>
              <c:numCache>
                <c:formatCode>0</c:formatCode>
                <c:ptCount val="11"/>
                <c:pt idx="0">
                  <c:v>693.35786670402842</c:v>
                </c:pt>
                <c:pt idx="1">
                  <c:v>452.54739043559783</c:v>
                </c:pt>
                <c:pt idx="2">
                  <c:v>211.73691416717014</c:v>
                </c:pt>
                <c:pt idx="3">
                  <c:v>-24.495226949313583</c:v>
                </c:pt>
                <c:pt idx="4">
                  <c:v>-227.38427258544024</c:v>
                </c:pt>
                <c:pt idx="5">
                  <c:v>-430.27331822156617</c:v>
                </c:pt>
                <c:pt idx="6">
                  <c:v>-633.16236385769116</c:v>
                </c:pt>
                <c:pt idx="7">
                  <c:v>-870.95291557930739</c:v>
                </c:pt>
                <c:pt idx="8">
                  <c:v>-1131.5625896088936</c:v>
                </c:pt>
                <c:pt idx="9">
                  <c:v>-1392.1722636384825</c:v>
                </c:pt>
                <c:pt idx="10">
                  <c:v>-1652.7819376680686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FE5-4BAB-8B73-30C279B07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67361787156436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without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Paper'!$N$14:$X$14</c:f>
              <c:numCache>
                <c:formatCode>0</c:formatCode>
                <c:ptCount val="11"/>
                <c:pt idx="0">
                  <c:v>1914.7467864923485</c:v>
                </c:pt>
                <c:pt idx="1">
                  <c:v>1554.1051775069548</c:v>
                </c:pt>
                <c:pt idx="2">
                  <c:v>1193.4650531300863</c:v>
                </c:pt>
                <c:pt idx="3">
                  <c:v>832.69432503331552</c:v>
                </c:pt>
                <c:pt idx="4">
                  <c:v>471.7122583382137</c:v>
                </c:pt>
                <c:pt idx="5">
                  <c:v>109.83978405986871</c:v>
                </c:pt>
                <c:pt idx="6">
                  <c:v>-263.38336788864945</c:v>
                </c:pt>
                <c:pt idx="7">
                  <c:v>-643.62050697423797</c:v>
                </c:pt>
                <c:pt idx="8">
                  <c:v>-1023.8576460598256</c:v>
                </c:pt>
                <c:pt idx="9">
                  <c:v>-1404.0947851454127</c:v>
                </c:pt>
                <c:pt idx="10">
                  <c:v>-1784.3319242310024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13D-4110-B4FA-2F96362F3142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Paper'!$N$33:$X$33</c:f>
              <c:numCache>
                <c:formatCode>0</c:formatCode>
                <c:ptCount val="11"/>
                <c:pt idx="0">
                  <c:v>1976.3523823571738</c:v>
                </c:pt>
                <c:pt idx="1">
                  <c:v>1636.6014987811427</c:v>
                </c:pt>
                <c:pt idx="2">
                  <c:v>1296.6883552931845</c:v>
                </c:pt>
                <c:pt idx="3">
                  <c:v>956.36705410829188</c:v>
                </c:pt>
                <c:pt idx="4">
                  <c:v>615.57715063339504</c:v>
                </c:pt>
                <c:pt idx="5">
                  <c:v>273.47427506600309</c:v>
                </c:pt>
                <c:pt idx="6">
                  <c:v>-81.311762789052977</c:v>
                </c:pt>
                <c:pt idx="7">
                  <c:v>-437.16492986116532</c:v>
                </c:pt>
                <c:pt idx="8">
                  <c:v>-793.01809693327516</c:v>
                </c:pt>
                <c:pt idx="9">
                  <c:v>-1148.8712640053855</c:v>
                </c:pt>
                <c:pt idx="10">
                  <c:v>-1504.7244310774959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13D-4110-B4FA-2F96362F3142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Paper'!$N$52:$X$52</c:f>
              <c:numCache>
                <c:formatCode>0</c:formatCode>
                <c:ptCount val="11"/>
                <c:pt idx="0">
                  <c:v>1882.4199650012924</c:v>
                </c:pt>
                <c:pt idx="1">
                  <c:v>1577.0352814636169</c:v>
                </c:pt>
                <c:pt idx="2">
                  <c:v>1271.223016273975</c:v>
                </c:pt>
                <c:pt idx="3">
                  <c:v>964.51900489768275</c:v>
                </c:pt>
                <c:pt idx="4">
                  <c:v>656.70029017372781</c:v>
                </c:pt>
                <c:pt idx="5">
                  <c:v>341.77087636531115</c:v>
                </c:pt>
                <c:pt idx="6">
                  <c:v>23.435472748747895</c:v>
                </c:pt>
                <c:pt idx="7">
                  <c:v>-294.89993086781556</c:v>
                </c:pt>
                <c:pt idx="8">
                  <c:v>-613.23533448437968</c:v>
                </c:pt>
                <c:pt idx="9">
                  <c:v>-931.57073810094289</c:v>
                </c:pt>
                <c:pt idx="10">
                  <c:v>-1249.9061417175069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3D-4110-B4FA-2F96362F3142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Paper'!$N$71:$X$71</c:f>
              <c:numCache>
                <c:formatCode>0</c:formatCode>
                <c:ptCount val="11"/>
                <c:pt idx="0">
                  <c:v>1434.3742503653768</c:v>
                </c:pt>
                <c:pt idx="1">
                  <c:v>1193.5624681356633</c:v>
                </c:pt>
                <c:pt idx="2">
                  <c:v>952.75199186723512</c:v>
                </c:pt>
                <c:pt idx="3">
                  <c:v>711.94151559880231</c:v>
                </c:pt>
                <c:pt idx="4">
                  <c:v>471.07401490920671</c:v>
                </c:pt>
                <c:pt idx="5">
                  <c:v>229.37625510323397</c:v>
                </c:pt>
                <c:pt idx="6">
                  <c:v>-23.587949939736149</c:v>
                </c:pt>
                <c:pt idx="7">
                  <c:v>-284.1976239693239</c:v>
                </c:pt>
                <c:pt idx="8">
                  <c:v>-544.80729799891026</c:v>
                </c:pt>
                <c:pt idx="9">
                  <c:v>-805.41697202849866</c:v>
                </c:pt>
                <c:pt idx="10">
                  <c:v>-1066.0266460580849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13D-4110-B4FA-2F96362F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31002878593985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Paper'!$N$18:$X$18</c:f>
              <c:numCache>
                <c:formatCode>0</c:formatCode>
                <c:ptCount val="11"/>
                <c:pt idx="0">
                  <c:v>1924.9626236279557</c:v>
                </c:pt>
                <c:pt idx="1">
                  <c:v>1564.585847374439</c:v>
                </c:pt>
                <c:pt idx="2">
                  <c:v>1203.8456122235364</c:v>
                </c:pt>
                <c:pt idx="3">
                  <c:v>842.55939023943108</c:v>
                </c:pt>
                <c:pt idx="4">
                  <c:v>479.46998310563617</c:v>
                </c:pt>
                <c:pt idx="5">
                  <c:v>116.22453483521153</c:v>
                </c:pt>
                <c:pt idx="6">
                  <c:v>-201.77252026944558</c:v>
                </c:pt>
                <c:pt idx="7">
                  <c:v>-530.85767552746961</c:v>
                </c:pt>
                <c:pt idx="8">
                  <c:v>-911.09481461305677</c:v>
                </c:pt>
                <c:pt idx="9">
                  <c:v>-1291.3319536986437</c:v>
                </c:pt>
                <c:pt idx="10">
                  <c:v>-1671.5690927842338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7F9-481E-9F1C-73A2329D6E95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Paper'!$N$37:$X$37</c:f>
              <c:numCache>
                <c:formatCode>0</c:formatCode>
                <c:ptCount val="11"/>
                <c:pt idx="0">
                  <c:v>1961.147373050391</c:v>
                </c:pt>
                <c:pt idx="1">
                  <c:v>1622.9130950057117</c:v>
                </c:pt>
                <c:pt idx="2">
                  <c:v>1284.6788169610334</c:v>
                </c:pt>
                <c:pt idx="3">
                  <c:v>946.34754240820178</c:v>
                </c:pt>
                <c:pt idx="4">
                  <c:v>607.83209802435385</c:v>
                </c:pt>
                <c:pt idx="5">
                  <c:v>269.25849190192929</c:v>
                </c:pt>
                <c:pt idx="6">
                  <c:v>-57.726337623937248</c:v>
                </c:pt>
                <c:pt idx="7">
                  <c:v>-347.76397647567302</c:v>
                </c:pt>
                <c:pt idx="8">
                  <c:v>-695.90257680665616</c:v>
                </c:pt>
                <c:pt idx="9">
                  <c:v>-1051.7557438787651</c:v>
                </c:pt>
                <c:pt idx="10">
                  <c:v>-1407.6089109508805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7F9-481E-9F1C-73A2329D6E95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Paper'!$N$56:$X$56</c:f>
              <c:numCache>
                <c:formatCode>0</c:formatCode>
                <c:ptCount val="11"/>
                <c:pt idx="0">
                  <c:v>1944.744459027308</c:v>
                </c:pt>
                <c:pt idx="1">
                  <c:v>1640.6353832203406</c:v>
                </c:pt>
                <c:pt idx="2">
                  <c:v>1336.5246167198002</c:v>
                </c:pt>
                <c:pt idx="3">
                  <c:v>1032.4146955660513</c:v>
                </c:pt>
                <c:pt idx="4">
                  <c:v>728.3047744123013</c:v>
                </c:pt>
                <c:pt idx="5">
                  <c:v>424.19485325855192</c:v>
                </c:pt>
                <c:pt idx="6">
                  <c:v>120.08493210480231</c:v>
                </c:pt>
                <c:pt idx="7">
                  <c:v>-150.08081755589208</c:v>
                </c:pt>
                <c:pt idx="8">
                  <c:v>-432.28167873527957</c:v>
                </c:pt>
                <c:pt idx="9">
                  <c:v>-750.61708235184324</c:v>
                </c:pt>
                <c:pt idx="10">
                  <c:v>-1068.9524859684061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F9-481E-9F1C-73A2329D6E95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Paper'!$N$75:$X$75</c:f>
              <c:numCache>
                <c:formatCode>0</c:formatCode>
                <c:ptCount val="11"/>
                <c:pt idx="0">
                  <c:v>1712.8373753414949</c:v>
                </c:pt>
                <c:pt idx="1">
                  <c:v>1472.0268990730585</c:v>
                </c:pt>
                <c:pt idx="2">
                  <c:v>1231.2164228046311</c:v>
                </c:pt>
                <c:pt idx="3">
                  <c:v>990.40594653619701</c:v>
                </c:pt>
                <c:pt idx="4">
                  <c:v>749.59547026776625</c:v>
                </c:pt>
                <c:pt idx="5">
                  <c:v>508.78499399933605</c:v>
                </c:pt>
                <c:pt idx="6">
                  <c:v>267.97451773090501</c:v>
                </c:pt>
                <c:pt idx="7">
                  <c:v>27.164041462473076</c:v>
                </c:pt>
                <c:pt idx="8">
                  <c:v>-212.29867326421009</c:v>
                </c:pt>
                <c:pt idx="9">
                  <c:v>-472.90834729379617</c:v>
                </c:pt>
                <c:pt idx="10">
                  <c:v>-733.51802132338332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7F9-481E-9F1C-73A2329D6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6080696561994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'Techno-Economic Analysis'!$B$107</c:f>
              <c:strCache>
                <c:ptCount val="1"/>
                <c:pt idx="0">
                  <c:v>EIA Reference Case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numRef>
              <c:f>'Techno-Economic Analysis'!$C$105:$AG$105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'Techno-Economic Analysis'!$C$107:$AG$107</c:f>
              <c:numCache>
                <c:formatCode>0.00</c:formatCode>
                <c:ptCount val="31"/>
                <c:pt idx="0">
                  <c:v>5.7527379999999999</c:v>
                </c:pt>
                <c:pt idx="1">
                  <c:v>5.7071199999999997</c:v>
                </c:pt>
                <c:pt idx="2">
                  <c:v>5.6243720000000001</c:v>
                </c:pt>
                <c:pt idx="3">
                  <c:v>5.5510809999999999</c:v>
                </c:pt>
                <c:pt idx="4">
                  <c:v>5.5612940000000002</c:v>
                </c:pt>
                <c:pt idx="5">
                  <c:v>5.6078700000000001</c:v>
                </c:pt>
                <c:pt idx="6">
                  <c:v>5.6489510000000003</c:v>
                </c:pt>
                <c:pt idx="7">
                  <c:v>5.6629389999999997</c:v>
                </c:pt>
                <c:pt idx="8">
                  <c:v>5.5858090000000002</c:v>
                </c:pt>
                <c:pt idx="9">
                  <c:v>5.5009259999999998</c:v>
                </c:pt>
                <c:pt idx="10">
                  <c:v>5.4378970000000004</c:v>
                </c:pt>
                <c:pt idx="11">
                  <c:v>5.351394</c:v>
                </c:pt>
                <c:pt idx="12">
                  <c:v>5.2706929999999996</c:v>
                </c:pt>
                <c:pt idx="13">
                  <c:v>5.2708029999999999</c:v>
                </c:pt>
                <c:pt idx="14">
                  <c:v>5.2463360000000003</c:v>
                </c:pt>
                <c:pt idx="15">
                  <c:v>5.165203</c:v>
                </c:pt>
                <c:pt idx="16">
                  <c:v>5.1219190000000001</c:v>
                </c:pt>
                <c:pt idx="17">
                  <c:v>5.0796999999999999</c:v>
                </c:pt>
                <c:pt idx="18">
                  <c:v>5.0881259999999999</c:v>
                </c:pt>
                <c:pt idx="19">
                  <c:v>5.0508670000000002</c:v>
                </c:pt>
                <c:pt idx="20">
                  <c:v>4.9858880000000001</c:v>
                </c:pt>
                <c:pt idx="21">
                  <c:v>4.9548550000000002</c:v>
                </c:pt>
                <c:pt idx="22">
                  <c:v>4.9229529999999997</c:v>
                </c:pt>
                <c:pt idx="23">
                  <c:v>4.8888930000000004</c:v>
                </c:pt>
                <c:pt idx="24">
                  <c:v>4.8843360000000002</c:v>
                </c:pt>
                <c:pt idx="25">
                  <c:v>4.8630079999999998</c:v>
                </c:pt>
                <c:pt idx="26">
                  <c:v>4.8391479999999998</c:v>
                </c:pt>
                <c:pt idx="27">
                  <c:v>4.8546899999999997</c:v>
                </c:pt>
                <c:pt idx="28">
                  <c:v>4.84572</c:v>
                </c:pt>
                <c:pt idx="29">
                  <c:v>4.8302589999999999</c:v>
                </c:pt>
                <c:pt idx="30">
                  <c:v>4.8353400000000004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9-44E5-BEF3-F7993562AAEC}"/>
            </c:ext>
          </c:extLst>
        </c:ser>
        <c:ser>
          <c:idx val="2"/>
          <c:order val="2"/>
          <c:tx>
            <c:strRef>
              <c:f>'Techno-Economic Analysis'!$B$109</c:f>
              <c:strCache>
                <c:ptCount val="1"/>
                <c:pt idx="0">
                  <c:v>EIA $25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'Techno-Economic Analysis'!$C$105:$AG$105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'Techno-Economic Analysis'!$C$109:$AG$109</c:f>
              <c:numCache>
                <c:formatCode>0.00</c:formatCode>
                <c:ptCount val="31"/>
                <c:pt idx="0">
                  <c:v>5.776052</c:v>
                </c:pt>
                <c:pt idx="1">
                  <c:v>6.32212</c:v>
                </c:pt>
                <c:pt idx="2">
                  <c:v>6.5044930000000001</c:v>
                </c:pt>
                <c:pt idx="3">
                  <c:v>6.4339370000000002</c:v>
                </c:pt>
                <c:pt idx="4">
                  <c:v>6.4673780000000001</c:v>
                </c:pt>
                <c:pt idx="5">
                  <c:v>6.563574</c:v>
                </c:pt>
                <c:pt idx="6">
                  <c:v>6.6182119999999998</c:v>
                </c:pt>
                <c:pt idx="7">
                  <c:v>6.546411</c:v>
                </c:pt>
                <c:pt idx="8">
                  <c:v>6.4082670000000004</c:v>
                </c:pt>
                <c:pt idx="9">
                  <c:v>6.2783389999999999</c:v>
                </c:pt>
                <c:pt idx="10">
                  <c:v>6.1865379999999996</c:v>
                </c:pt>
                <c:pt idx="11">
                  <c:v>6.1390469999999997</c:v>
                </c:pt>
                <c:pt idx="12">
                  <c:v>6.0917539999999999</c:v>
                </c:pt>
                <c:pt idx="13">
                  <c:v>6.0956060000000001</c:v>
                </c:pt>
                <c:pt idx="14">
                  <c:v>6.0613729999999997</c:v>
                </c:pt>
                <c:pt idx="15">
                  <c:v>5.9931749999999999</c:v>
                </c:pt>
                <c:pt idx="16">
                  <c:v>5.8821079999999997</c:v>
                </c:pt>
                <c:pt idx="17">
                  <c:v>5.834244</c:v>
                </c:pt>
                <c:pt idx="18">
                  <c:v>5.8189650000000004</c:v>
                </c:pt>
                <c:pt idx="19">
                  <c:v>5.8248499999999996</c:v>
                </c:pt>
                <c:pt idx="20">
                  <c:v>5.824192</c:v>
                </c:pt>
                <c:pt idx="21">
                  <c:v>5.7929279999999999</c:v>
                </c:pt>
                <c:pt idx="22">
                  <c:v>5.7647899999999996</c:v>
                </c:pt>
                <c:pt idx="23">
                  <c:v>5.7693770000000004</c:v>
                </c:pt>
                <c:pt idx="24">
                  <c:v>5.7582180000000003</c:v>
                </c:pt>
                <c:pt idx="25">
                  <c:v>5.7445050000000002</c:v>
                </c:pt>
                <c:pt idx="26">
                  <c:v>5.7492330000000003</c:v>
                </c:pt>
                <c:pt idx="27">
                  <c:v>5.7809290000000004</c:v>
                </c:pt>
                <c:pt idx="28">
                  <c:v>5.8072090000000003</c:v>
                </c:pt>
                <c:pt idx="29">
                  <c:v>5.8238089999999998</c:v>
                </c:pt>
                <c:pt idx="30">
                  <c:v>5.8665649999999996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19-44E5-BEF3-F7993562A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922799"/>
        <c:axId val="1538620895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'Techno-Economic Analysis'!$B$108</c15:sqref>
                        </c15:formulaRef>
                      </c:ext>
                    </c:extLst>
                    <c:strCache>
                      <c:ptCount val="1"/>
                      <c:pt idx="0">
                        <c:v>EIA $15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'Techno-Economic Analysis'!$C$105:$AG$105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2020</c:v>
                      </c:pt>
                      <c:pt idx="1">
                        <c:v>2021</c:v>
                      </c:pt>
                      <c:pt idx="2">
                        <c:v>2022</c:v>
                      </c:pt>
                      <c:pt idx="3">
                        <c:v>2023</c:v>
                      </c:pt>
                      <c:pt idx="4">
                        <c:v>2024</c:v>
                      </c:pt>
                      <c:pt idx="5">
                        <c:v>2025</c:v>
                      </c:pt>
                      <c:pt idx="6">
                        <c:v>2026</c:v>
                      </c:pt>
                      <c:pt idx="7">
                        <c:v>2027</c:v>
                      </c:pt>
                      <c:pt idx="8">
                        <c:v>2028</c:v>
                      </c:pt>
                      <c:pt idx="9">
                        <c:v>2029</c:v>
                      </c:pt>
                      <c:pt idx="10">
                        <c:v>2030</c:v>
                      </c:pt>
                      <c:pt idx="11">
                        <c:v>2031</c:v>
                      </c:pt>
                      <c:pt idx="12">
                        <c:v>2032</c:v>
                      </c:pt>
                      <c:pt idx="13">
                        <c:v>2033</c:v>
                      </c:pt>
                      <c:pt idx="14">
                        <c:v>2034</c:v>
                      </c:pt>
                      <c:pt idx="15">
                        <c:v>2035</c:v>
                      </c:pt>
                      <c:pt idx="16">
                        <c:v>2036</c:v>
                      </c:pt>
                      <c:pt idx="17">
                        <c:v>2037</c:v>
                      </c:pt>
                      <c:pt idx="18">
                        <c:v>2038</c:v>
                      </c:pt>
                      <c:pt idx="19">
                        <c:v>2039</c:v>
                      </c:pt>
                      <c:pt idx="20">
                        <c:v>2040</c:v>
                      </c:pt>
                      <c:pt idx="21">
                        <c:v>2041</c:v>
                      </c:pt>
                      <c:pt idx="22">
                        <c:v>2042</c:v>
                      </c:pt>
                      <c:pt idx="23">
                        <c:v>2043</c:v>
                      </c:pt>
                      <c:pt idx="24">
                        <c:v>2044</c:v>
                      </c:pt>
                      <c:pt idx="25">
                        <c:v>2045</c:v>
                      </c:pt>
                      <c:pt idx="26">
                        <c:v>2046</c:v>
                      </c:pt>
                      <c:pt idx="27">
                        <c:v>2047</c:v>
                      </c:pt>
                      <c:pt idx="28">
                        <c:v>2048</c:v>
                      </c:pt>
                      <c:pt idx="29">
                        <c:v>2049</c:v>
                      </c:pt>
                      <c:pt idx="30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'Techno-Economic Analysis'!$C$108:$AG$108</c15:sqref>
                        </c15:formulaRef>
                      </c:ext>
                    </c:extLst>
                    <c:numCache>
                      <c:formatCode>0.00</c:formatCode>
                      <c:ptCount val="31"/>
                      <c:pt idx="0">
                        <c:v>5.7527379999999999</c:v>
                      </c:pt>
                      <c:pt idx="1">
                        <c:v>5.7071199999999997</c:v>
                      </c:pt>
                      <c:pt idx="2">
                        <c:v>5.6243720000000001</c:v>
                      </c:pt>
                      <c:pt idx="3">
                        <c:v>5.5510809999999999</c:v>
                      </c:pt>
                      <c:pt idx="4">
                        <c:v>5.5612940000000002</c:v>
                      </c:pt>
                      <c:pt idx="5">
                        <c:v>5.6078700000000001</c:v>
                      </c:pt>
                      <c:pt idx="6">
                        <c:v>5.6489510000000003</c:v>
                      </c:pt>
                      <c:pt idx="7">
                        <c:v>5.6629389999999997</c:v>
                      </c:pt>
                      <c:pt idx="8">
                        <c:v>5.5858090000000002</c:v>
                      </c:pt>
                      <c:pt idx="9">
                        <c:v>5.5009259999999998</c:v>
                      </c:pt>
                      <c:pt idx="10">
                        <c:v>5.4378970000000004</c:v>
                      </c:pt>
                      <c:pt idx="11">
                        <c:v>5.351394</c:v>
                      </c:pt>
                      <c:pt idx="12">
                        <c:v>5.2706929999999996</c:v>
                      </c:pt>
                      <c:pt idx="13">
                        <c:v>5.2708029999999999</c:v>
                      </c:pt>
                      <c:pt idx="14">
                        <c:v>5.2463360000000003</c:v>
                      </c:pt>
                      <c:pt idx="15">
                        <c:v>5.165203</c:v>
                      </c:pt>
                      <c:pt idx="16">
                        <c:v>5.1219190000000001</c:v>
                      </c:pt>
                      <c:pt idx="17">
                        <c:v>5.0796999999999999</c:v>
                      </c:pt>
                      <c:pt idx="18">
                        <c:v>5.0881259999999999</c:v>
                      </c:pt>
                      <c:pt idx="19">
                        <c:v>5.0508670000000002</c:v>
                      </c:pt>
                      <c:pt idx="20">
                        <c:v>4.9858880000000001</c:v>
                      </c:pt>
                      <c:pt idx="21">
                        <c:v>4.9548550000000002</c:v>
                      </c:pt>
                      <c:pt idx="22">
                        <c:v>4.9229529999999997</c:v>
                      </c:pt>
                      <c:pt idx="23">
                        <c:v>4.8888930000000004</c:v>
                      </c:pt>
                      <c:pt idx="24">
                        <c:v>4.8843360000000002</c:v>
                      </c:pt>
                      <c:pt idx="25">
                        <c:v>4.8630079999999998</c:v>
                      </c:pt>
                      <c:pt idx="26">
                        <c:v>4.8391479999999998</c:v>
                      </c:pt>
                      <c:pt idx="27">
                        <c:v>4.8546899999999997</c:v>
                      </c:pt>
                      <c:pt idx="28">
                        <c:v>4.84572</c:v>
                      </c:pt>
                      <c:pt idx="29">
                        <c:v>4.8302589999999999</c:v>
                      </c:pt>
                      <c:pt idx="30">
                        <c:v>4.8353400000000004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319-44E5-BEF3-F7993562AAEC}"/>
                  </c:ext>
                </c:extLst>
              </c15:ser>
            </c15:filteredLineSeries>
          </c:ext>
        </c:extLst>
      </c:lineChart>
      <c:catAx>
        <c:axId val="1574922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620895"/>
        <c:crosses val="autoZero"/>
        <c:auto val="1"/>
        <c:lblAlgn val="ctr"/>
        <c:lblOffset val="100"/>
        <c:noMultiLvlLbl val="0"/>
      </c:catAx>
      <c:valAx>
        <c:axId val="153862089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Electricity Price ($ per 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2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310243684152087"/>
          <c:y val="0.43531708536432939"/>
          <c:w val="0.6137951263169581"/>
          <c:h val="5.35718035245594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'Techno-Economic Analysis'!$B$118</c:f>
              <c:strCache>
                <c:ptCount val="1"/>
                <c:pt idx="0">
                  <c:v>EIA Reference Case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numRef>
              <c:f>'Techno-Economic Analysis'!$C$105:$AG$105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'Techno-Economic Analysis'!$C$118:$AG$118</c:f>
              <c:numCache>
                <c:formatCode>0.00</c:formatCode>
                <c:ptCount val="31"/>
                <c:pt idx="0">
                  <c:v>2.7387079999999999</c:v>
                </c:pt>
                <c:pt idx="1">
                  <c:v>2.9102589999999999</c:v>
                </c:pt>
                <c:pt idx="2">
                  <c:v>2.9043109999999999</c:v>
                </c:pt>
                <c:pt idx="3">
                  <c:v>2.9767429999999999</c:v>
                </c:pt>
                <c:pt idx="4">
                  <c:v>3.1307019999999999</c:v>
                </c:pt>
                <c:pt idx="5">
                  <c:v>3.4163389999999998</c:v>
                </c:pt>
                <c:pt idx="6">
                  <c:v>3.6321370000000002</c:v>
                </c:pt>
                <c:pt idx="7">
                  <c:v>3.7679109999999998</c:v>
                </c:pt>
                <c:pt idx="8">
                  <c:v>3.8350200000000001</c:v>
                </c:pt>
                <c:pt idx="9">
                  <c:v>3.8238889999999999</c:v>
                </c:pt>
                <c:pt idx="10">
                  <c:v>3.7509389999999998</c:v>
                </c:pt>
                <c:pt idx="11">
                  <c:v>3.7167029999999999</c:v>
                </c:pt>
                <c:pt idx="12">
                  <c:v>3.7427380000000001</c:v>
                </c:pt>
                <c:pt idx="13">
                  <c:v>3.8117640000000002</c:v>
                </c:pt>
                <c:pt idx="14">
                  <c:v>3.8672580000000001</c:v>
                </c:pt>
                <c:pt idx="15">
                  <c:v>3.861809</c:v>
                </c:pt>
                <c:pt idx="16">
                  <c:v>3.8587509999999998</c:v>
                </c:pt>
                <c:pt idx="17">
                  <c:v>3.8986019999999999</c:v>
                </c:pt>
                <c:pt idx="18">
                  <c:v>3.9204080000000001</c:v>
                </c:pt>
                <c:pt idx="19">
                  <c:v>3.9264320000000001</c:v>
                </c:pt>
                <c:pt idx="20">
                  <c:v>3.932766</c:v>
                </c:pt>
                <c:pt idx="21">
                  <c:v>3.928709</c:v>
                </c:pt>
                <c:pt idx="22">
                  <c:v>3.9383219999999999</c:v>
                </c:pt>
                <c:pt idx="23">
                  <c:v>3.9483990000000002</c:v>
                </c:pt>
                <c:pt idx="24">
                  <c:v>3.9656349999999998</c:v>
                </c:pt>
                <c:pt idx="25">
                  <c:v>3.9790510000000001</c:v>
                </c:pt>
                <c:pt idx="26">
                  <c:v>4.0233879999999997</c:v>
                </c:pt>
                <c:pt idx="27">
                  <c:v>4.0797990000000004</c:v>
                </c:pt>
                <c:pt idx="28">
                  <c:v>4.1171620000000004</c:v>
                </c:pt>
                <c:pt idx="29">
                  <c:v>4.1408779999999998</c:v>
                </c:pt>
                <c:pt idx="30">
                  <c:v>4.1994100000000003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6-4249-8851-1CC6D9A53B98}"/>
            </c:ext>
          </c:extLst>
        </c:ser>
        <c:ser>
          <c:idx val="0"/>
          <c:order val="1"/>
          <c:tx>
            <c:strRef>
              <c:f>'Techno-Economic Analysis'!$B$120</c:f>
              <c:strCache>
                <c:ptCount val="1"/>
                <c:pt idx="0">
                  <c:v>EIA $25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'Techno-Economic Analysis'!$C$105:$AG$105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'Techno-Economic Analysis'!$C$120:$AG$120</c:f>
              <c:numCache>
                <c:formatCode>0.00</c:formatCode>
                <c:ptCount val="31"/>
                <c:pt idx="0">
                  <c:v>2.7517260000000001</c:v>
                </c:pt>
                <c:pt idx="1">
                  <c:v>4.6805479999999999</c:v>
                </c:pt>
                <c:pt idx="2">
                  <c:v>4.72478</c:v>
                </c:pt>
                <c:pt idx="3">
                  <c:v>4.8867649999999996</c:v>
                </c:pt>
                <c:pt idx="4">
                  <c:v>5.0955659999999998</c:v>
                </c:pt>
                <c:pt idx="5">
                  <c:v>5.4377519999999997</c:v>
                </c:pt>
                <c:pt idx="6">
                  <c:v>5.5789949999999999</c:v>
                </c:pt>
                <c:pt idx="7">
                  <c:v>5.6224970000000001</c:v>
                </c:pt>
                <c:pt idx="8">
                  <c:v>5.6712429999999996</c:v>
                </c:pt>
                <c:pt idx="9">
                  <c:v>5.6835789999999999</c:v>
                </c:pt>
                <c:pt idx="10">
                  <c:v>5.7445079999999997</c:v>
                </c:pt>
                <c:pt idx="11">
                  <c:v>5.8110590000000002</c:v>
                </c:pt>
                <c:pt idx="12">
                  <c:v>5.9447700000000001</c:v>
                </c:pt>
                <c:pt idx="13">
                  <c:v>6.061064</c:v>
                </c:pt>
                <c:pt idx="14">
                  <c:v>6.1949750000000003</c:v>
                </c:pt>
                <c:pt idx="15">
                  <c:v>6.2828559999999998</c:v>
                </c:pt>
                <c:pt idx="16">
                  <c:v>6.3683610000000002</c:v>
                </c:pt>
                <c:pt idx="17">
                  <c:v>6.513998</c:v>
                </c:pt>
                <c:pt idx="18">
                  <c:v>6.6730809999999998</c:v>
                </c:pt>
                <c:pt idx="19">
                  <c:v>6.8394009999999996</c:v>
                </c:pt>
                <c:pt idx="20">
                  <c:v>7.010122</c:v>
                </c:pt>
                <c:pt idx="21">
                  <c:v>7.1692590000000003</c:v>
                </c:pt>
                <c:pt idx="22">
                  <c:v>7.3555820000000001</c:v>
                </c:pt>
                <c:pt idx="23">
                  <c:v>7.5444250000000004</c:v>
                </c:pt>
                <c:pt idx="24">
                  <c:v>7.7665899999999999</c:v>
                </c:pt>
                <c:pt idx="25">
                  <c:v>7.9785570000000003</c:v>
                </c:pt>
                <c:pt idx="26">
                  <c:v>8.2361740000000001</c:v>
                </c:pt>
                <c:pt idx="27">
                  <c:v>8.5036919999999991</c:v>
                </c:pt>
                <c:pt idx="28">
                  <c:v>8.7847480000000004</c:v>
                </c:pt>
                <c:pt idx="29">
                  <c:v>9.0799789999999998</c:v>
                </c:pt>
                <c:pt idx="30">
                  <c:v>9.417916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36-4249-8851-1CC6D9A53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922799"/>
        <c:axId val="1538620895"/>
        <c:extLst/>
      </c:lineChart>
      <c:catAx>
        <c:axId val="1574922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620895"/>
        <c:crosses val="autoZero"/>
        <c:auto val="1"/>
        <c:lblAlgn val="ctr"/>
        <c:lblOffset val="100"/>
        <c:noMultiLvlLbl val="0"/>
      </c:catAx>
      <c:valAx>
        <c:axId val="153862089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Natural Gas Price ($ per mmBTU)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2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054737748987243"/>
          <c:y val="0.60504807763095036"/>
          <c:w val="0.36356898515222874"/>
          <c:h val="7.28826486290700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Social Costs of Greenhouse Gases</a:t>
            </a:r>
          </a:p>
        </c:rich>
      </c:tx>
      <c:layout>
        <c:manualLayout>
          <c:xMode val="edge"/>
          <c:yMode val="edge"/>
          <c:x val="0.21626895998245044"/>
          <c:y val="2.2523261474670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Paper'!$AB$10:$AL$10</c:f>
              <c:numCache>
                <c:formatCode>0</c:formatCode>
                <c:ptCount val="11"/>
                <c:pt idx="0">
                  <c:v>4357.9864297418353</c:v>
                </c:pt>
                <c:pt idx="1">
                  <c:v>3865.2556158847115</c:v>
                </c:pt>
                <c:pt idx="2">
                  <c:v>3372.4826091664704</c:v>
                </c:pt>
                <c:pt idx="3">
                  <c:v>2878.6931374061314</c:v>
                </c:pt>
                <c:pt idx="4">
                  <c:v>2384.0614565813644</c:v>
                </c:pt>
                <c:pt idx="5">
                  <c:v>1887.7280015448214</c:v>
                </c:pt>
                <c:pt idx="6">
                  <c:v>1388.2929923440674</c:v>
                </c:pt>
                <c:pt idx="7">
                  <c:v>873.59810647652273</c:v>
                </c:pt>
                <c:pt idx="8">
                  <c:v>351.71127412585747</c:v>
                </c:pt>
                <c:pt idx="9">
                  <c:v>-170.17555822480767</c:v>
                </c:pt>
                <c:pt idx="10">
                  <c:v>-692.06239057547396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6C-41D2-B55F-6E2674F59B2B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Paper'!$AB$29:$AL$29</c:f>
              <c:numCache>
                <c:formatCode>0</c:formatCode>
                <c:ptCount val="11"/>
                <c:pt idx="0">
                  <c:v>4012.8389705104009</c:v>
                </c:pt>
                <c:pt idx="1">
                  <c:v>3550.8840185735089</c:v>
                </c:pt>
                <c:pt idx="2">
                  <c:v>3088.0562303228508</c:v>
                </c:pt>
                <c:pt idx="3">
                  <c:v>2624.7233086920774</c:v>
                </c:pt>
                <c:pt idx="4">
                  <c:v>2160.1111415741534</c:v>
                </c:pt>
                <c:pt idx="5">
                  <c:v>1693.6343277907206</c:v>
                </c:pt>
                <c:pt idx="6">
                  <c:v>1209.3763526310593</c:v>
                </c:pt>
                <c:pt idx="7">
                  <c:v>724.06547830060845</c:v>
                </c:pt>
                <c:pt idx="8">
                  <c:v>238.75460397015945</c:v>
                </c:pt>
                <c:pt idx="9">
                  <c:v>-246.55627036029023</c:v>
                </c:pt>
                <c:pt idx="10">
                  <c:v>-731.86714469074059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6C-41D2-B55F-6E2674F59B2B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Paper'!$AB$48:$AL$48</c:f>
              <c:numCache>
                <c:formatCode>0</c:formatCode>
                <c:ptCount val="11"/>
                <c:pt idx="0">
                  <c:v>3589.3388378150953</c:v>
                </c:pt>
                <c:pt idx="1">
                  <c:v>3167.4142478919198</c:v>
                </c:pt>
                <c:pt idx="2">
                  <c:v>2738.3800187447914</c:v>
                </c:pt>
                <c:pt idx="3">
                  <c:v>2309.3457895976612</c:v>
                </c:pt>
                <c:pt idx="4">
                  <c:v>1880.3115604505322</c:v>
                </c:pt>
                <c:pt idx="5">
                  <c:v>1451.2773313034045</c:v>
                </c:pt>
                <c:pt idx="6">
                  <c:v>1022.2431021562747</c:v>
                </c:pt>
                <c:pt idx="7">
                  <c:v>593.20887300914569</c:v>
                </c:pt>
                <c:pt idx="8">
                  <c:v>164.17464386201664</c:v>
                </c:pt>
                <c:pt idx="9">
                  <c:v>-264.85958528511264</c:v>
                </c:pt>
                <c:pt idx="10">
                  <c:v>-693.89381443224136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56C-41D2-B55F-6E2674F59B2B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Paper'!$AB$67:$AL$67</c:f>
              <c:numCache>
                <c:formatCode>0</c:formatCode>
                <c:ptCount val="11"/>
                <c:pt idx="0">
                  <c:v>2845.2492613909267</c:v>
                </c:pt>
                <c:pt idx="1">
                  <c:v>2502.8036266242621</c:v>
                </c:pt>
                <c:pt idx="2">
                  <c:v>2160.357991857597</c:v>
                </c:pt>
                <c:pt idx="3">
                  <c:v>1817.9123570909342</c:v>
                </c:pt>
                <c:pt idx="4">
                  <c:v>1475.4667223242709</c:v>
                </c:pt>
                <c:pt idx="5">
                  <c:v>1133.021087557604</c:v>
                </c:pt>
                <c:pt idx="6">
                  <c:v>790.57545279094165</c:v>
                </c:pt>
                <c:pt idx="7">
                  <c:v>448.12981802427578</c:v>
                </c:pt>
                <c:pt idx="8">
                  <c:v>105.68418325761274</c:v>
                </c:pt>
                <c:pt idx="9">
                  <c:v>-236.76145150905108</c:v>
                </c:pt>
                <c:pt idx="10">
                  <c:v>-579.20708627571605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56C-41D2-B55F-6E2674F59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55414573510263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No Emissions Pricing</a:t>
            </a: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Paper'!$AB$6:$AL$6</c:f>
              <c:numCache>
                <c:formatCode>0</c:formatCode>
                <c:ptCount val="11"/>
                <c:pt idx="0">
                  <c:v>1436.7963500260739</c:v>
                </c:pt>
                <c:pt idx="1">
                  <c:v>940.23429070232203</c:v>
                </c:pt>
                <c:pt idx="2">
                  <c:v>441.77098808774008</c:v>
                </c:pt>
                <c:pt idx="3">
                  <c:v>-46.283556038914668</c:v>
                </c:pt>
                <c:pt idx="4">
                  <c:v>-452.58129513844517</c:v>
                </c:pt>
                <c:pt idx="5">
                  <c:v>-858.92252366493699</c:v>
                </c:pt>
                <c:pt idx="6">
                  <c:v>-1270.8033709541039</c:v>
                </c:pt>
                <c:pt idx="7">
                  <c:v>-1770.7242195031736</c:v>
                </c:pt>
                <c:pt idx="8">
                  <c:v>-2292.6110518538362</c:v>
                </c:pt>
                <c:pt idx="9">
                  <c:v>-2814.4978842045043</c:v>
                </c:pt>
                <c:pt idx="10">
                  <c:v>-3336.3847165551706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E0-4E20-A604-A24F64FC54CF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Paper'!$AB$25:$AL$25</c:f>
              <c:numCache>
                <c:formatCode>0</c:formatCode>
                <c:ptCount val="11"/>
                <c:pt idx="0">
                  <c:v>1371.3727004935697</c:v>
                </c:pt>
                <c:pt idx="1">
                  <c:v>908.91373640571112</c:v>
                </c:pt>
                <c:pt idx="2">
                  <c:v>445.28999223222223</c:v>
                </c:pt>
                <c:pt idx="3">
                  <c:v>-14.940797167648356</c:v>
                </c:pt>
                <c:pt idx="4">
                  <c:v>-392.76353339715479</c:v>
                </c:pt>
                <c:pt idx="5">
                  <c:v>-770.58626962666222</c:v>
                </c:pt>
                <c:pt idx="6">
                  <c:v>-1152.0310406754513</c:v>
                </c:pt>
                <c:pt idx="7">
                  <c:v>-1594.0461872067231</c:v>
                </c:pt>
                <c:pt idx="8">
                  <c:v>-2079.3570615371727</c:v>
                </c:pt>
                <c:pt idx="9">
                  <c:v>-2564.6679358676238</c:v>
                </c:pt>
                <c:pt idx="10">
                  <c:v>-3049.9788101980721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3E0-4E20-A604-A24F64FC54CF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Paper'!$AB$44:$AL$44</c:f>
              <c:numCache>
                <c:formatCode>0</c:formatCode>
                <c:ptCount val="11"/>
                <c:pt idx="0">
                  <c:v>1240.9395168478122</c:v>
                </c:pt>
                <c:pt idx="1">
                  <c:v>831.0775784146341</c:v>
                </c:pt>
                <c:pt idx="2">
                  <c:v>421.21563998145666</c:v>
                </c:pt>
                <c:pt idx="3">
                  <c:v>11.353701548277822</c:v>
                </c:pt>
                <c:pt idx="4">
                  <c:v>-324.75789767468865</c:v>
                </c:pt>
                <c:pt idx="5">
                  <c:v>-658.76831237253111</c:v>
                </c:pt>
                <c:pt idx="6">
                  <c:v>-992.77872707037216</c:v>
                </c:pt>
                <c:pt idx="7">
                  <c:v>-1350.8647561596213</c:v>
                </c:pt>
                <c:pt idx="8">
                  <c:v>-1778.32476414499</c:v>
                </c:pt>
                <c:pt idx="9">
                  <c:v>-2207.3589932921195</c:v>
                </c:pt>
                <c:pt idx="10">
                  <c:v>-2636.3932224392488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E0-4E20-A604-A24F64FC54CF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Paper'!$AB$63:$AL$63</c:f>
              <c:numCache>
                <c:formatCode>0</c:formatCode>
                <c:ptCount val="11"/>
                <c:pt idx="0">
                  <c:v>971.38441705328125</c:v>
                </c:pt>
                <c:pt idx="1">
                  <c:v>654.95527177587439</c:v>
                </c:pt>
                <c:pt idx="2">
                  <c:v>338.52612649847106</c:v>
                </c:pt>
                <c:pt idx="3">
                  <c:v>22.096981221064254</c:v>
                </c:pt>
                <c:pt idx="4">
                  <c:v>-247.98244989491263</c:v>
                </c:pt>
                <c:pt idx="5">
                  <c:v>-514.58217716435729</c:v>
                </c:pt>
                <c:pt idx="6">
                  <c:v>-781.18190443379979</c:v>
                </c:pt>
                <c:pt idx="7">
                  <c:v>-1074.4643000187609</c:v>
                </c:pt>
                <c:pt idx="8">
                  <c:v>-1416.9099347854251</c:v>
                </c:pt>
                <c:pt idx="9">
                  <c:v>-1759.3555695520872</c:v>
                </c:pt>
                <c:pt idx="10">
                  <c:v>-2101.8012043187537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3E0-4E20-A604-A24F64FC5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67361787156436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without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Paper'!$AB$14:$AL$14</c:f>
              <c:numCache>
                <c:formatCode>0</c:formatCode>
                <c:ptCount val="11"/>
                <c:pt idx="0">
                  <c:v>2751.2189746901549</c:v>
                </c:pt>
                <c:pt idx="1">
                  <c:v>2260.9099403533664</c:v>
                </c:pt>
                <c:pt idx="2">
                  <c:v>1770.6009060165779</c:v>
                </c:pt>
                <c:pt idx="3">
                  <c:v>1280.2918716797899</c:v>
                </c:pt>
                <c:pt idx="4">
                  <c:v>789.98283734300094</c:v>
                </c:pt>
                <c:pt idx="5">
                  <c:v>299.67380300621221</c:v>
                </c:pt>
                <c:pt idx="6">
                  <c:v>-177.17951761084066</c:v>
                </c:pt>
                <c:pt idx="7">
                  <c:v>-699.0663499615066</c:v>
                </c:pt>
                <c:pt idx="8">
                  <c:v>-1220.9531823121722</c:v>
                </c:pt>
                <c:pt idx="9">
                  <c:v>-1742.8400146628376</c:v>
                </c:pt>
                <c:pt idx="10">
                  <c:v>-2264.7268470135032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93A-4E7D-872D-F98A1B0F701C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Paper'!$AB$33:$AL$33</c:f>
              <c:numCache>
                <c:formatCode>0</c:formatCode>
                <c:ptCount val="11"/>
                <c:pt idx="0">
                  <c:v>2806.9399721997133</c:v>
                </c:pt>
                <c:pt idx="1">
                  <c:v>2348.1395066788123</c:v>
                </c:pt>
                <c:pt idx="2">
                  <c:v>1889.3390411579101</c:v>
                </c:pt>
                <c:pt idx="3">
                  <c:v>1430.4241552833173</c:v>
                </c:pt>
                <c:pt idx="4">
                  <c:v>971.24373916026616</c:v>
                </c:pt>
                <c:pt idx="5">
                  <c:v>511.37669802657734</c:v>
                </c:pt>
                <c:pt idx="6">
                  <c:v>46.933497358788387</c:v>
                </c:pt>
                <c:pt idx="7">
                  <c:v>-438.3773769716617</c:v>
                </c:pt>
                <c:pt idx="8">
                  <c:v>-923.68825130211144</c:v>
                </c:pt>
                <c:pt idx="9">
                  <c:v>-1408.9991256325607</c:v>
                </c:pt>
                <c:pt idx="10">
                  <c:v>-1894.3099999630103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93A-4E7D-872D-F98A1B0F701C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Paper'!$AB$52:$AL$52</c:f>
              <c:numCache>
                <c:formatCode>0</c:formatCode>
                <c:ptCount val="11"/>
                <c:pt idx="0">
                  <c:v>2608.5786049945655</c:v>
                </c:pt>
                <c:pt idx="1">
                  <c:v>2200.60082594397</c:v>
                </c:pt>
                <c:pt idx="2">
                  <c:v>1792.3491125757012</c:v>
                </c:pt>
                <c:pt idx="3">
                  <c:v>1383.9334924879506</c:v>
                </c:pt>
                <c:pt idx="4">
                  <c:v>974.80826660694413</c:v>
                </c:pt>
                <c:pt idx="5">
                  <c:v>564.09834176531672</c:v>
                </c:pt>
                <c:pt idx="6">
                  <c:v>140.83316345066572</c:v>
                </c:pt>
                <c:pt idx="7">
                  <c:v>-288.20106569646356</c:v>
                </c:pt>
                <c:pt idx="8">
                  <c:v>-717.23529484359233</c:v>
                </c:pt>
                <c:pt idx="9">
                  <c:v>-1146.2695239907216</c:v>
                </c:pt>
                <c:pt idx="10">
                  <c:v>-1575.3037531378529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93A-4E7D-872D-F98A1B0F701C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Paper'!$AB$71:$AL$71</c:f>
              <c:numCache>
                <c:formatCode>0</c:formatCode>
                <c:ptCount val="11"/>
                <c:pt idx="0">
                  <c:v>1955.4138392844225</c:v>
                </c:pt>
                <c:pt idx="1">
                  <c:v>1639.4174368179022</c:v>
                </c:pt>
                <c:pt idx="2">
                  <c:v>1323.2077418167987</c:v>
                </c:pt>
                <c:pt idx="3">
                  <c:v>1006.5273001516138</c:v>
                </c:pt>
                <c:pt idx="4">
                  <c:v>689.60076180163719</c:v>
                </c:pt>
                <c:pt idx="5">
                  <c:v>372.6006486548232</c:v>
                </c:pt>
                <c:pt idx="6">
                  <c:v>52.642696211392519</c:v>
                </c:pt>
                <c:pt idx="7">
                  <c:v>-289.80293855527214</c:v>
                </c:pt>
                <c:pt idx="8">
                  <c:v>-632.24857332193574</c:v>
                </c:pt>
                <c:pt idx="9">
                  <c:v>-974.69420808860013</c:v>
                </c:pt>
                <c:pt idx="10">
                  <c:v>-1317.1398428552686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93A-4E7D-872D-F98A1B0F7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31002878593985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Paper'!$AB$18:$AL$18</c:f>
              <c:numCache>
                <c:formatCode>0</c:formatCode>
                <c:ptCount val="11"/>
                <c:pt idx="0">
                  <c:v>2767.4087165672508</c:v>
                </c:pt>
                <c:pt idx="1">
                  <c:v>2274.9474528168121</c:v>
                </c:pt>
                <c:pt idx="2">
                  <c:v>1781.6647242761933</c:v>
                </c:pt>
                <c:pt idx="3">
                  <c:v>1287.9880810036861</c:v>
                </c:pt>
                <c:pt idx="4">
                  <c:v>793.03553918993316</c:v>
                </c:pt>
                <c:pt idx="5">
                  <c:v>296.58610765410077</c:v>
                </c:pt>
                <c:pt idx="6">
                  <c:v>-164.54007883797578</c:v>
                </c:pt>
                <c:pt idx="7">
                  <c:v>-575.42339911839713</c:v>
                </c:pt>
                <c:pt idx="8">
                  <c:v>-1054.7352324159087</c:v>
                </c:pt>
                <c:pt idx="9">
                  <c:v>-1576.6220647665741</c:v>
                </c:pt>
                <c:pt idx="10">
                  <c:v>-2098.5088971172399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177-467F-A759-67F1D82895ED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Paper'!$AB$37:$AL$37</c:f>
              <c:numCache>
                <c:formatCode>0</c:formatCode>
                <c:ptCount val="11"/>
                <c:pt idx="0">
                  <c:v>2797.5901326653607</c:v>
                </c:pt>
                <c:pt idx="1">
                  <c:v>2338.4905528385666</c:v>
                </c:pt>
                <c:pt idx="2">
                  <c:v>1879.3388658621941</c:v>
                </c:pt>
                <c:pt idx="3">
                  <c:v>1419.635660571367</c:v>
                </c:pt>
                <c:pt idx="4">
                  <c:v>959.93301504436658</c:v>
                </c:pt>
                <c:pt idx="5">
                  <c:v>499.68247261651885</c:v>
                </c:pt>
                <c:pt idx="6">
                  <c:v>38.482422770925638</c:v>
                </c:pt>
                <c:pt idx="7">
                  <c:v>-352.09918596925354</c:v>
                </c:pt>
                <c:pt idx="8">
                  <c:v>-782.01206211255078</c:v>
                </c:pt>
                <c:pt idx="9">
                  <c:v>-1267.3229364430001</c:v>
                </c:pt>
                <c:pt idx="10">
                  <c:v>-1752.63381077345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177-467F-A759-67F1D82895ED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Paper'!$AB$56:$AL$56</c:f>
              <c:numCache>
                <c:formatCode>0</c:formatCode>
                <c:ptCount val="11"/>
                <c:pt idx="0">
                  <c:v>2733.9394133727037</c:v>
                </c:pt>
                <c:pt idx="1">
                  <c:v>2325.9550407069846</c:v>
                </c:pt>
                <c:pt idx="2">
                  <c:v>1917.9701213548635</c:v>
                </c:pt>
                <c:pt idx="3">
                  <c:v>1509.7050814612589</c:v>
                </c:pt>
                <c:pt idx="4">
                  <c:v>1101.1430233989449</c:v>
                </c:pt>
                <c:pt idx="5">
                  <c:v>692.58025631424027</c:v>
                </c:pt>
                <c:pt idx="6">
                  <c:v>282.8449224400905</c:v>
                </c:pt>
                <c:pt idx="7">
                  <c:v>-103.64951303801524</c:v>
                </c:pt>
                <c:pt idx="8">
                  <c:v>-456.21055381504596</c:v>
                </c:pt>
                <c:pt idx="9">
                  <c:v>-885.24478296217512</c:v>
                </c:pt>
                <c:pt idx="10">
                  <c:v>-1314.2790121093035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177-467F-A759-67F1D82895ED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Paper'!$AB$75:$AL$75</c:f>
              <c:numCache>
                <c:formatCode>0</c:formatCode>
                <c:ptCount val="11"/>
                <c:pt idx="0">
                  <c:v>2337.1350959258052</c:v>
                </c:pt>
                <c:pt idx="1">
                  <c:v>2021.1330812779036</c:v>
                </c:pt>
                <c:pt idx="2">
                  <c:v>1705.1300996708321</c:v>
                </c:pt>
                <c:pt idx="3">
                  <c:v>1389.1268341273251</c:v>
                </c:pt>
                <c:pt idx="4">
                  <c:v>1073.1177709326237</c:v>
                </c:pt>
                <c:pt idx="5">
                  <c:v>757.11480939625744</c:v>
                </c:pt>
                <c:pt idx="6">
                  <c:v>441.12032092120791</c:v>
                </c:pt>
                <c:pt idx="7">
                  <c:v>125.11519163551503</c:v>
                </c:pt>
                <c:pt idx="8">
                  <c:v>-184.33633867121719</c:v>
                </c:pt>
                <c:pt idx="9">
                  <c:v>-526.78197343788247</c:v>
                </c:pt>
                <c:pt idx="10">
                  <c:v>-869.22760820454607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177-467F-A759-67F1D8289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6080696561994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1608585124291648"/>
          <c:w val="0.85025227932962433"/>
          <c:h val="0.70568393228606952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Paper'!$B$292</c:f>
              <c:strCache>
                <c:ptCount val="1"/>
                <c:pt idx="0">
                  <c:v>High (5%) Methane Leak Rate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Paper'!$C$291:$AJ$291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Paper'!$C$292:$AJ$292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-569.38754806029249</c:v>
                </c:pt>
                <c:pt idx="5">
                  <c:v>-627.84122272711647</c:v>
                </c:pt>
                <c:pt idx="6">
                  <c:v>-688.06758936577705</c:v>
                </c:pt>
                <c:pt idx="7">
                  <c:v>-751.2448138564107</c:v>
                </c:pt>
                <c:pt idx="8">
                  <c:v>-815.34298089785955</c:v>
                </c:pt>
                <c:pt idx="9">
                  <c:v>-878.5808953361194</c:v>
                </c:pt>
                <c:pt idx="10">
                  <c:v>-942.2849403662143</c:v>
                </c:pt>
                <c:pt idx="11">
                  <c:v>-1005.0285095079541</c:v>
                </c:pt>
                <c:pt idx="12">
                  <c:v>-1066.3474638513881</c:v>
                </c:pt>
                <c:pt idx="13">
                  <c:v>-1092.3976324341804</c:v>
                </c:pt>
                <c:pt idx="14">
                  <c:v>-1118.5142247820609</c:v>
                </c:pt>
                <c:pt idx="15">
                  <c:v>-1146.6028198265335</c:v>
                </c:pt>
                <c:pt idx="16">
                  <c:v>-1173.9069798902117</c:v>
                </c:pt>
                <c:pt idx="17">
                  <c:v>-1201.8653813883486</c:v>
                </c:pt>
                <c:pt idx="18">
                  <c:v>-1229.2702974133349</c:v>
                </c:pt>
                <c:pt idx="19">
                  <c:v>-1256.6181372094093</c:v>
                </c:pt>
                <c:pt idx="20">
                  <c:v>-1283.071151009699</c:v>
                </c:pt>
                <c:pt idx="21">
                  <c:v>-1308.8123136609347</c:v>
                </c:pt>
                <c:pt idx="22">
                  <c:v>-1333.3108671642351</c:v>
                </c:pt>
                <c:pt idx="23">
                  <c:v>-1356.849690238718</c:v>
                </c:pt>
                <c:pt idx="24">
                  <c:v>-1379.7712512994326</c:v>
                </c:pt>
                <c:pt idx="25">
                  <c:v>-1401.0909440712567</c:v>
                </c:pt>
                <c:pt idx="26">
                  <c:v>-1421.8516763539726</c:v>
                </c:pt>
                <c:pt idx="27">
                  <c:v>-1441.3084045832861</c:v>
                </c:pt>
                <c:pt idx="28">
                  <c:v>-1460.1074638166522</c:v>
                </c:pt>
                <c:pt idx="29">
                  <c:v>-1477.8983861563966</c:v>
                </c:pt>
                <c:pt idx="30">
                  <c:v>-1494.9736423808156</c:v>
                </c:pt>
                <c:pt idx="31">
                  <c:v>-1511.0087433458345</c:v>
                </c:pt>
                <c:pt idx="32">
                  <c:v>-1526.3952497100061</c:v>
                </c:pt>
                <c:pt idx="33">
                  <c:v>-1540.8213933061427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EA2-4ABA-AD16-043186018306}"/>
            </c:ext>
          </c:extLst>
        </c:ser>
        <c:ser>
          <c:idx val="1"/>
          <c:order val="1"/>
          <c:tx>
            <c:strRef>
              <c:f>'Figures in Paper'!$B$293</c:f>
              <c:strCache>
                <c:ptCount val="1"/>
                <c:pt idx="0">
                  <c:v>Baseline (2.3%) Methane Leak Rate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Paper'!$C$291:$AJ$291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Paper'!$C$293:$AJ$293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A2-4ABA-AD16-043186018306}"/>
            </c:ext>
          </c:extLst>
        </c:ser>
        <c:ser>
          <c:idx val="2"/>
          <c:order val="2"/>
          <c:tx>
            <c:strRef>
              <c:f>'Figures in Paper'!$B$294</c:f>
              <c:strCache>
                <c:ptCount val="1"/>
                <c:pt idx="0">
                  <c:v>Low (1%) Methane Leak Rate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Paper'!$C$291:$AJ$291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Paper'!$C$294:$AJ$294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-532.31068952017847</c:v>
                </c:pt>
                <c:pt idx="5">
                  <c:v>-553.91427542389204</c:v>
                </c:pt>
                <c:pt idx="6">
                  <c:v>-580.33322117896512</c:v>
                </c:pt>
                <c:pt idx="7">
                  <c:v>-610.10861840282223</c:v>
                </c:pt>
                <c:pt idx="8">
                  <c:v>-643.56290721787059</c:v>
                </c:pt>
                <c:pt idx="9">
                  <c:v>-678.68717190713915</c:v>
                </c:pt>
                <c:pt idx="10">
                  <c:v>-714.7565677737432</c:v>
                </c:pt>
                <c:pt idx="11">
                  <c:v>-752.14724777466586</c:v>
                </c:pt>
                <c:pt idx="12">
                  <c:v>-788.65603537479251</c:v>
                </c:pt>
                <c:pt idx="13">
                  <c:v>-791.9445830921652</c:v>
                </c:pt>
                <c:pt idx="14">
                  <c:v>-797.17895446259638</c:v>
                </c:pt>
                <c:pt idx="15">
                  <c:v>-804.91217355428023</c:v>
                </c:pt>
                <c:pt idx="16">
                  <c:v>-813.54167678053739</c:v>
                </c:pt>
                <c:pt idx="17">
                  <c:v>-823.35955895468203</c:v>
                </c:pt>
                <c:pt idx="18">
                  <c:v>-834.12179670077626</c:v>
                </c:pt>
                <c:pt idx="19">
                  <c:v>-845.35287363757698</c:v>
                </c:pt>
                <c:pt idx="20">
                  <c:v>-857.01986646605599</c:v>
                </c:pt>
                <c:pt idx="21">
                  <c:v>-868.48191663847888</c:v>
                </c:pt>
                <c:pt idx="22">
                  <c:v>-879.88036695020799</c:v>
                </c:pt>
                <c:pt idx="23">
                  <c:v>-891.40074672967137</c:v>
                </c:pt>
                <c:pt idx="24">
                  <c:v>-902.74490828600926</c:v>
                </c:pt>
                <c:pt idx="25">
                  <c:v>-913.44313362262528</c:v>
                </c:pt>
                <c:pt idx="26">
                  <c:v>-923.99537820003002</c:v>
                </c:pt>
                <c:pt idx="27">
                  <c:v>-934.08652137859929</c:v>
                </c:pt>
                <c:pt idx="28">
                  <c:v>-943.90274257330316</c:v>
                </c:pt>
                <c:pt idx="29">
                  <c:v>-953.45252909776104</c:v>
                </c:pt>
                <c:pt idx="30">
                  <c:v>-962.63838525968015</c:v>
                </c:pt>
                <c:pt idx="31">
                  <c:v>-971.43550451598355</c:v>
                </c:pt>
                <c:pt idx="32">
                  <c:v>-979.90497943069442</c:v>
                </c:pt>
                <c:pt idx="33">
                  <c:v>-987.98522261448193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EA2-4ABA-AD16-043186018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  <c:extLst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NGCC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18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Cumulative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25645977973045"/>
          <c:y val="8.4918741458615596E-2"/>
          <c:w val="0.59765652192845908"/>
          <c:h val="6.6678172542558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2025 - Constant Average Capacity Factor</a:t>
            </a:r>
          </a:p>
        </c:rich>
      </c:tx>
      <c:layout>
        <c:manualLayout>
          <c:xMode val="edge"/>
          <c:yMode val="edge"/>
          <c:x val="0.17682803817938916"/>
          <c:y val="4.1292646036896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3"/>
          <c:order val="0"/>
          <c:tx>
            <c:strRef>
              <c:f>'Tables in Paper'!$AN$14:$AN$17</c:f>
              <c:strCache>
                <c:ptCount val="1"/>
                <c:pt idx="0">
                  <c:v>Low (12.5 g CO2 per MJ)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Paper'!$AP$14:$AZ$14</c:f>
              <c:numCache>
                <c:formatCode>0</c:formatCode>
                <c:ptCount val="11"/>
                <c:pt idx="0">
                  <c:v>3442.5431612352072</c:v>
                </c:pt>
                <c:pt idx="1">
                  <c:v>3080.1622389990534</c:v>
                </c:pt>
                <c:pt idx="2">
                  <c:v>2717.280896255083</c:v>
                </c:pt>
                <c:pt idx="3">
                  <c:v>2353.7489846232543</c:v>
                </c:pt>
                <c:pt idx="4">
                  <c:v>1989.4021236147073</c:v>
                </c:pt>
                <c:pt idx="5">
                  <c:v>1623.6384057297203</c:v>
                </c:pt>
                <c:pt idx="6">
                  <c:v>1254.9528991903685</c:v>
                </c:pt>
                <c:pt idx="7">
                  <c:v>874.71576010477986</c:v>
                </c:pt>
                <c:pt idx="8">
                  <c:v>494.47862101919264</c:v>
                </c:pt>
                <c:pt idx="9">
                  <c:v>114.24148193360486</c:v>
                </c:pt>
                <c:pt idx="10">
                  <c:v>-265.99565715198321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F81-43EA-867C-4B49D6472CE3}"/>
            </c:ext>
          </c:extLst>
        </c:ser>
        <c:ser>
          <c:idx val="2"/>
          <c:order val="1"/>
          <c:tx>
            <c:strRef>
              <c:f>'Tables in Paper'!$AN$10:$AN$13</c:f>
              <c:strCache>
                <c:ptCount val="1"/>
                <c:pt idx="0">
                  <c:v>Baseline (25 g CO2 per MJ)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Paper'!$AP$10:$AZ$10</c:f>
              <c:numCache>
                <c:formatCode>0</c:formatCode>
                <c:ptCount val="11"/>
                <c:pt idx="0">
                  <c:v>3122.6796558823453</c:v>
                </c:pt>
                <c:pt idx="1">
                  <c:v>2759.7999734544992</c:v>
                </c:pt>
                <c:pt idx="2">
                  <c:v>2396.2730813747362</c:v>
                </c:pt>
                <c:pt idx="3">
                  <c:v>2031.9207333916152</c:v>
                </c:pt>
                <c:pt idx="4">
                  <c:v>1666.1136002516362</c:v>
                </c:pt>
                <c:pt idx="5">
                  <c:v>1296.67320295374</c:v>
                </c:pt>
                <c:pt idx="6">
                  <c:v>916.43606386815247</c:v>
                </c:pt>
                <c:pt idx="7">
                  <c:v>536.19892478256372</c:v>
                </c:pt>
                <c:pt idx="8">
                  <c:v>155.9617856969769</c:v>
                </c:pt>
                <c:pt idx="9">
                  <c:v>-224.27535338861173</c:v>
                </c:pt>
                <c:pt idx="10">
                  <c:v>-604.51249247419958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81-43EA-867C-4B49D6472CE3}"/>
            </c:ext>
          </c:extLst>
        </c:ser>
        <c:ser>
          <c:idx val="1"/>
          <c:order val="2"/>
          <c:tx>
            <c:strRef>
              <c:f>'Tables in Paper'!$AN$6:$AN$9</c:f>
              <c:strCache>
                <c:ptCount val="1"/>
                <c:pt idx="0">
                  <c:v>High (50 g CO2 per MJ)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Paper'!$AP$6:$AZ$6</c:f>
              <c:numCache>
                <c:formatCode>0</c:formatCode>
                <c:ptCount val="11"/>
                <c:pt idx="0">
                  <c:v>2481.3194240420521</c:v>
                </c:pt>
                <c:pt idx="1">
                  <c:v>2116.9571701940681</c:v>
                </c:pt>
                <c:pt idx="2">
                  <c:v>1751.0635838771555</c:v>
                </c:pt>
                <c:pt idx="3">
                  <c:v>1380.1138104804832</c:v>
                </c:pt>
                <c:pt idx="4">
                  <c:v>999.87667139489531</c:v>
                </c:pt>
                <c:pt idx="5">
                  <c:v>619.63953230930758</c:v>
                </c:pt>
                <c:pt idx="6">
                  <c:v>239.40239322372008</c:v>
                </c:pt>
                <c:pt idx="7">
                  <c:v>-140.83474586186844</c:v>
                </c:pt>
                <c:pt idx="8">
                  <c:v>-521.07188494745583</c:v>
                </c:pt>
                <c:pt idx="9">
                  <c:v>-901.30902403304378</c:v>
                </c:pt>
                <c:pt idx="10">
                  <c:v>-1281.5461631186317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81-43EA-867C-4B49D6472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50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233302685517855"/>
          <c:y val="0.17306850470668178"/>
          <c:w val="0.45714016694956028"/>
          <c:h val="0.246539265404713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2025 - High Capacity Factor</a:t>
            </a:r>
          </a:p>
        </c:rich>
      </c:tx>
      <c:layout>
        <c:manualLayout>
          <c:xMode val="edge"/>
          <c:yMode val="edge"/>
          <c:x val="0.26234959409181718"/>
          <c:y val="3.00310152995608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3"/>
          <c:order val="0"/>
          <c:tx>
            <c:strRef>
              <c:f>'Tables in Paper'!$AN$14:$AN$17</c:f>
              <c:strCache>
                <c:ptCount val="1"/>
                <c:pt idx="0">
                  <c:v>Low (12.5 g CO2 per MJ)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Paper'!$AP$29:$AZ$29</c:f>
              <c:numCache>
                <c:formatCode>0</c:formatCode>
                <c:ptCount val="11"/>
                <c:pt idx="0">
                  <c:v>4797.1189456776183</c:v>
                </c:pt>
                <c:pt idx="1">
                  <c:v>4304.8837132489634</c:v>
                </c:pt>
                <c:pt idx="2">
                  <c:v>3812.1528993918396</c:v>
                </c:pt>
                <c:pt idx="3">
                  <c:v>3319.3247370106901</c:v>
                </c:pt>
                <c:pt idx="4">
                  <c:v>2825.5352652503502</c:v>
                </c:pt>
                <c:pt idx="5">
                  <c:v>2330.8613964577135</c:v>
                </c:pt>
                <c:pt idx="6">
                  <c:v>1834.4993295569186</c:v>
                </c:pt>
                <c:pt idx="7">
                  <c:v>1335.149193456851</c:v>
                </c:pt>
                <c:pt idx="8">
                  <c:v>821.41280131908741</c:v>
                </c:pt>
                <c:pt idx="9">
                  <c:v>299.52596896842203</c:v>
                </c:pt>
                <c:pt idx="10">
                  <c:v>-222.36086338224391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D69-422B-A360-4057DA7A727F}"/>
            </c:ext>
          </c:extLst>
        </c:ser>
        <c:ser>
          <c:idx val="2"/>
          <c:order val="1"/>
          <c:tx>
            <c:strRef>
              <c:f>'Tables in Paper'!$AN$10:$AN$13</c:f>
              <c:strCache>
                <c:ptCount val="1"/>
                <c:pt idx="0">
                  <c:v>Baseline (25 g CO2 per MJ)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Paper'!$AP$25:$AZ$25</c:f>
              <c:numCache>
                <c:formatCode>0</c:formatCode>
                <c:ptCount val="11"/>
                <c:pt idx="0">
                  <c:v>4357.9864297418353</c:v>
                </c:pt>
                <c:pt idx="1">
                  <c:v>3865.2556158847115</c:v>
                </c:pt>
                <c:pt idx="2">
                  <c:v>3372.4826091664704</c:v>
                </c:pt>
                <c:pt idx="3">
                  <c:v>2878.6931374061314</c:v>
                </c:pt>
                <c:pt idx="4">
                  <c:v>2384.0614565813644</c:v>
                </c:pt>
                <c:pt idx="5">
                  <c:v>1887.7280015448214</c:v>
                </c:pt>
                <c:pt idx="6">
                  <c:v>1388.2929923440674</c:v>
                </c:pt>
                <c:pt idx="7">
                  <c:v>873.59810647652273</c:v>
                </c:pt>
                <c:pt idx="8">
                  <c:v>351.71127412585747</c:v>
                </c:pt>
                <c:pt idx="9">
                  <c:v>-170.17555822480767</c:v>
                </c:pt>
                <c:pt idx="10">
                  <c:v>-692.06239057547396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D69-422B-A360-4057DA7A727F}"/>
            </c:ext>
          </c:extLst>
        </c:ser>
        <c:ser>
          <c:idx val="1"/>
          <c:order val="2"/>
          <c:tx>
            <c:strRef>
              <c:f>'Tables in Paper'!$AN$6:$AN$9</c:f>
              <c:strCache>
                <c:ptCount val="1"/>
                <c:pt idx="0">
                  <c:v>High (50 g CO2 per MJ)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Paper'!$AP$21:$AZ$21</c:f>
              <c:numCache>
                <c:formatCode>0</c:formatCode>
                <c:ptCount val="11"/>
                <c:pt idx="0">
                  <c:v>3478.7301015197454</c:v>
                </c:pt>
                <c:pt idx="1">
                  <c:v>2985.0088817176925</c:v>
                </c:pt>
                <c:pt idx="2">
                  <c:v>2490.4578251998264</c:v>
                </c:pt>
                <c:pt idx="3">
                  <c:v>1994.1853455206274</c:v>
                </c:pt>
                <c:pt idx="4">
                  <c:v>1494.5805901184988</c:v>
                </c:pt>
                <c:pt idx="5">
                  <c:v>977.96871679139429</c:v>
                </c:pt>
                <c:pt idx="6">
                  <c:v>456.08188444072897</c:v>
                </c:pt>
                <c:pt idx="7">
                  <c:v>-65.804947909937709</c:v>
                </c:pt>
                <c:pt idx="8">
                  <c:v>-587.69178026060263</c:v>
                </c:pt>
                <c:pt idx="9">
                  <c:v>-1109.5786126112675</c:v>
                </c:pt>
                <c:pt idx="10">
                  <c:v>-1631.4654449619334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D69-422B-A360-4057DA7A7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50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233302685517855"/>
          <c:y val="0.17306850470668178"/>
          <c:w val="0.45714016694956028"/>
          <c:h val="0.246539265404713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" Type="http://schemas.openxmlformats.org/officeDocument/2006/relationships/chart" Target="../charts/chart6.xml"/><Relationship Id="rId21" Type="http://schemas.openxmlformats.org/officeDocument/2006/relationships/chart" Target="../charts/chart24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35</xdr:row>
          <xdr:rowOff>95250</xdr:rowOff>
        </xdr:from>
        <xdr:to>
          <xdr:col>4</xdr:col>
          <xdr:colOff>676275</xdr:colOff>
          <xdr:row>38</xdr:row>
          <xdr:rowOff>66675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SELECTED ANALYSIS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576670</xdr:colOff>
      <xdr:row>38</xdr:row>
      <xdr:rowOff>168089</xdr:rowOff>
    </xdr:from>
    <xdr:to>
      <xdr:col>5</xdr:col>
      <xdr:colOff>1374321</xdr:colOff>
      <xdr:row>60</xdr:row>
      <xdr:rowOff>61634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656055</xdr:colOff>
      <xdr:row>11</xdr:row>
      <xdr:rowOff>89646</xdr:rowOff>
    </xdr:from>
    <xdr:to>
      <xdr:col>13</xdr:col>
      <xdr:colOff>190500</xdr:colOff>
      <xdr:row>27</xdr:row>
      <xdr:rowOff>76029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29</xdr:row>
          <xdr:rowOff>114300</xdr:rowOff>
        </xdr:from>
        <xdr:to>
          <xdr:col>11</xdr:col>
          <xdr:colOff>257175</xdr:colOff>
          <xdr:row>33</xdr:row>
          <xdr:rowOff>104775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Biogas Cost Target Evaluation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94013</xdr:colOff>
      <xdr:row>45</xdr:row>
      <xdr:rowOff>14844</xdr:rowOff>
    </xdr:from>
    <xdr:to>
      <xdr:col>17</xdr:col>
      <xdr:colOff>775607</xdr:colOff>
      <xdr:row>74</xdr:row>
      <xdr:rowOff>101435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314325</xdr:colOff>
          <xdr:row>39</xdr:row>
          <xdr:rowOff>104775</xdr:rowOff>
        </xdr:from>
        <xdr:to>
          <xdr:col>21</xdr:col>
          <xdr:colOff>1476375</xdr:colOff>
          <xdr:row>41</xdr:row>
          <xdr:rowOff>457200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BECCS Cost Target Evaluation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89285</xdr:colOff>
      <xdr:row>73</xdr:row>
      <xdr:rowOff>155864</xdr:rowOff>
    </xdr:from>
    <xdr:to>
      <xdr:col>14</xdr:col>
      <xdr:colOff>141674</xdr:colOff>
      <xdr:row>96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495098</xdr:colOff>
      <xdr:row>125</xdr:row>
      <xdr:rowOff>0</xdr:rowOff>
    </xdr:from>
    <xdr:to>
      <xdr:col>10</xdr:col>
      <xdr:colOff>439211</xdr:colOff>
      <xdr:row>125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479816</xdr:colOff>
      <xdr:row>125</xdr:row>
      <xdr:rowOff>0</xdr:rowOff>
    </xdr:from>
    <xdr:to>
      <xdr:col>10</xdr:col>
      <xdr:colOff>422910</xdr:colOff>
      <xdr:row>125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14844</xdr:colOff>
      <xdr:row>8</xdr:row>
      <xdr:rowOff>119992</xdr:rowOff>
    </xdr:from>
    <xdr:to>
      <xdr:col>13</xdr:col>
      <xdr:colOff>1178579</xdr:colOff>
      <xdr:row>29</xdr:row>
      <xdr:rowOff>24743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571500</xdr:colOff>
      <xdr:row>41</xdr:row>
      <xdr:rowOff>1</xdr:rowOff>
    </xdr:from>
    <xdr:to>
      <xdr:col>14</xdr:col>
      <xdr:colOff>578659</xdr:colOff>
      <xdr:row>62</xdr:row>
      <xdr:rowOff>173182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314738</xdr:colOff>
      <xdr:row>104</xdr:row>
      <xdr:rowOff>173106</xdr:rowOff>
    </xdr:from>
    <xdr:to>
      <xdr:col>7</xdr:col>
      <xdr:colOff>300403</xdr:colOff>
      <xdr:row>124</xdr:row>
      <xdr:rowOff>82825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358588</xdr:colOff>
      <xdr:row>200</xdr:row>
      <xdr:rowOff>156883</xdr:rowOff>
    </xdr:from>
    <xdr:to>
      <xdr:col>10</xdr:col>
      <xdr:colOff>717176</xdr:colOff>
      <xdr:row>227</xdr:row>
      <xdr:rowOff>112059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201</xdr:row>
      <xdr:rowOff>0</xdr:rowOff>
    </xdr:from>
    <xdr:to>
      <xdr:col>24</xdr:col>
      <xdr:colOff>190500</xdr:colOff>
      <xdr:row>227</xdr:row>
      <xdr:rowOff>145676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230</xdr:row>
      <xdr:rowOff>0</xdr:rowOff>
    </xdr:from>
    <xdr:to>
      <xdr:col>11</xdr:col>
      <xdr:colOff>103910</xdr:colOff>
      <xdr:row>256</xdr:row>
      <xdr:rowOff>145676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230</xdr:row>
      <xdr:rowOff>0</xdr:rowOff>
    </xdr:from>
    <xdr:to>
      <xdr:col>24</xdr:col>
      <xdr:colOff>212768</xdr:colOff>
      <xdr:row>256</xdr:row>
      <xdr:rowOff>145676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12599</xdr:colOff>
      <xdr:row>127</xdr:row>
      <xdr:rowOff>33130</xdr:rowOff>
    </xdr:from>
    <xdr:to>
      <xdr:col>12</xdr:col>
      <xdr:colOff>378346</xdr:colOff>
      <xdr:row>144</xdr:row>
      <xdr:rowOff>177799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447260</xdr:colOff>
      <xdr:row>127</xdr:row>
      <xdr:rowOff>117704</xdr:rowOff>
    </xdr:from>
    <xdr:to>
      <xdr:col>5</xdr:col>
      <xdr:colOff>107966</xdr:colOff>
      <xdr:row>145</xdr:row>
      <xdr:rowOff>71873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395262</xdr:colOff>
      <xdr:row>146</xdr:row>
      <xdr:rowOff>14593</xdr:rowOff>
    </xdr:from>
    <xdr:to>
      <xdr:col>5</xdr:col>
      <xdr:colOff>55968</xdr:colOff>
      <xdr:row>163</xdr:row>
      <xdr:rowOff>159262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531548</xdr:colOff>
      <xdr:row>145</xdr:row>
      <xdr:rowOff>98172</xdr:rowOff>
    </xdr:from>
    <xdr:to>
      <xdr:col>12</xdr:col>
      <xdr:colOff>34886</xdr:colOff>
      <xdr:row>163</xdr:row>
      <xdr:rowOff>52341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256760</xdr:colOff>
      <xdr:row>262</xdr:row>
      <xdr:rowOff>57977</xdr:rowOff>
    </xdr:from>
    <xdr:to>
      <xdr:col>9</xdr:col>
      <xdr:colOff>472108</xdr:colOff>
      <xdr:row>285</xdr:row>
      <xdr:rowOff>91108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262</xdr:row>
      <xdr:rowOff>0</xdr:rowOff>
    </xdr:from>
    <xdr:to>
      <xdr:col>21</xdr:col>
      <xdr:colOff>574423</xdr:colOff>
      <xdr:row>285</xdr:row>
      <xdr:rowOff>33131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23</xdr:col>
      <xdr:colOff>685645</xdr:colOff>
      <xdr:row>128</xdr:row>
      <xdr:rowOff>0</xdr:rowOff>
    </xdr:from>
    <xdr:to>
      <xdr:col>30</xdr:col>
      <xdr:colOff>157758</xdr:colOff>
      <xdr:row>145</xdr:row>
      <xdr:rowOff>144669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51998</xdr:colOff>
      <xdr:row>128</xdr:row>
      <xdr:rowOff>84574</xdr:rowOff>
    </xdr:from>
    <xdr:to>
      <xdr:col>22</xdr:col>
      <xdr:colOff>783675</xdr:colOff>
      <xdr:row>146</xdr:row>
      <xdr:rowOff>38743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146</xdr:row>
      <xdr:rowOff>171963</xdr:rowOff>
    </xdr:from>
    <xdr:to>
      <xdr:col>22</xdr:col>
      <xdr:colOff>731677</xdr:colOff>
      <xdr:row>164</xdr:row>
      <xdr:rowOff>126132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23</xdr:col>
      <xdr:colOff>343203</xdr:colOff>
      <xdr:row>146</xdr:row>
      <xdr:rowOff>65042</xdr:rowOff>
    </xdr:from>
    <xdr:to>
      <xdr:col>29</xdr:col>
      <xdr:colOff>671548</xdr:colOff>
      <xdr:row>164</xdr:row>
      <xdr:rowOff>19211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295</xdr:row>
      <xdr:rowOff>0</xdr:rowOff>
    </xdr:from>
    <xdr:to>
      <xdr:col>13</xdr:col>
      <xdr:colOff>963710</xdr:colOff>
      <xdr:row>315</xdr:row>
      <xdr:rowOff>95251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321</xdr:row>
      <xdr:rowOff>0</xdr:rowOff>
    </xdr:from>
    <xdr:to>
      <xdr:col>4</xdr:col>
      <xdr:colOff>733430</xdr:colOff>
      <xdr:row>338</xdr:row>
      <xdr:rowOff>144669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46280</xdr:colOff>
      <xdr:row>321</xdr:row>
      <xdr:rowOff>13606</xdr:rowOff>
    </xdr:from>
    <xdr:to>
      <xdr:col>11</xdr:col>
      <xdr:colOff>325581</xdr:colOff>
      <xdr:row>338</xdr:row>
      <xdr:rowOff>158275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BA270"/>
  <sheetViews>
    <sheetView tabSelected="1" topLeftCell="A13" zoomScale="85" zoomScaleNormal="85" workbookViewId="0">
      <selection activeCell="C21" sqref="C21"/>
    </sheetView>
  </sheetViews>
  <sheetFormatPr defaultRowHeight="15" outlineLevelRow="1" x14ac:dyDescent="0.25"/>
  <cols>
    <col min="2" max="2" width="66.5703125" customWidth="1"/>
    <col min="3" max="3" width="27.7109375" bestFit="1" customWidth="1"/>
    <col min="4" max="4" width="40.140625" customWidth="1"/>
    <col min="5" max="5" width="20.140625" bestFit="1" customWidth="1"/>
    <col min="6" max="6" width="24.42578125" bestFit="1" customWidth="1"/>
    <col min="7" max="12" width="15.28515625" customWidth="1"/>
    <col min="13" max="13" width="18" bestFit="1" customWidth="1"/>
    <col min="14" max="53" width="15.28515625" customWidth="1"/>
  </cols>
  <sheetData>
    <row r="2" spans="2:12" x14ac:dyDescent="0.25">
      <c r="B2" s="62" t="s">
        <v>288</v>
      </c>
      <c r="C2" s="260" t="s">
        <v>289</v>
      </c>
    </row>
    <row r="4" spans="2:12" s="28" customFormat="1" x14ac:dyDescent="0.25">
      <c r="B4" s="29" t="s">
        <v>122</v>
      </c>
    </row>
    <row r="5" spans="2:12" x14ac:dyDescent="0.25">
      <c r="E5" s="15"/>
      <c r="F5" s="15"/>
    </row>
    <row r="6" spans="2:12" x14ac:dyDescent="0.25">
      <c r="B6" s="348" t="s">
        <v>376</v>
      </c>
      <c r="C6" s="348"/>
      <c r="E6" s="15"/>
      <c r="F6" s="15"/>
    </row>
    <row r="7" spans="2:12" ht="15.75" customHeight="1" x14ac:dyDescent="0.25">
      <c r="B7" s="71" t="s">
        <v>116</v>
      </c>
      <c r="C7" s="254" t="s">
        <v>105</v>
      </c>
      <c r="D7" t="str">
        <f>VLOOKUP(type,'Model Descriptions'!B3:C7,2,0)</f>
        <v>Solves for the net present value of the defined pathway and scneario</v>
      </c>
    </row>
    <row r="8" spans="2:12" x14ac:dyDescent="0.25">
      <c r="B8" s="18" t="s">
        <v>109</v>
      </c>
      <c r="C8" s="253" t="s">
        <v>51</v>
      </c>
      <c r="D8" t="str">
        <f>VLOOKUP(pathway,'Model Descriptions'!B9:C13,2,0)</f>
        <v>No change to natural gas power plant</v>
      </c>
      <c r="F8" s="15"/>
    </row>
    <row r="9" spans="2:12" x14ac:dyDescent="0.25">
      <c r="B9" s="18" t="s">
        <v>377</v>
      </c>
      <c r="C9" s="253">
        <v>2025</v>
      </c>
      <c r="D9" t="str">
        <f>'Model Descriptions'!C15</f>
        <v>Year in which the pathway will be implemented</v>
      </c>
      <c r="F9" s="15"/>
    </row>
    <row r="10" spans="2:12" ht="15.75" customHeight="1" x14ac:dyDescent="0.25">
      <c r="B10" s="15" t="s">
        <v>378</v>
      </c>
      <c r="C10" s="253" t="s">
        <v>79</v>
      </c>
      <c r="D10" t="str">
        <f>VLOOKUP(ignore_past_costs,'Model Descriptions'!B17:C18,2,0)</f>
        <v>Account for all costs over full lifetime of the plant</v>
      </c>
    </row>
    <row r="11" spans="2:12" s="330" customFormat="1" x14ac:dyDescent="0.25">
      <c r="B11" s="352" t="s">
        <v>374</v>
      </c>
      <c r="C11" s="352"/>
      <c r="E11" s="15"/>
      <c r="F11" s="15"/>
    </row>
    <row r="12" spans="2:12" x14ac:dyDescent="0.25">
      <c r="B12" s="15" t="s">
        <v>351</v>
      </c>
      <c r="C12" s="253" t="s">
        <v>227</v>
      </c>
      <c r="D12" t="str">
        <f>VLOOKUP(ghg_costs,'Model Descriptions'!B20:C28,2,0)</f>
        <v>Do not apply any greenhouse gas costs</v>
      </c>
      <c r="F12" s="15"/>
      <c r="L12" s="145"/>
    </row>
    <row r="13" spans="2:12" x14ac:dyDescent="0.25">
      <c r="B13" s="18" t="s">
        <v>380</v>
      </c>
      <c r="C13" s="253" t="s">
        <v>355</v>
      </c>
      <c r="D13" t="str">
        <f>VLOOKUP(emissions_cost_gases,'Model Descriptions'!B45:C46,2,0)</f>
        <v>Emissions costs are applied to CO2, CH4, and N2O</v>
      </c>
      <c r="F13" s="15"/>
      <c r="L13" s="145"/>
    </row>
    <row r="14" spans="2:12" x14ac:dyDescent="0.25">
      <c r="B14" s="18" t="s">
        <v>361</v>
      </c>
      <c r="C14" s="253" t="s">
        <v>198</v>
      </c>
      <c r="D14" t="str">
        <f>VLOOKUP(ng_production_cost,'Model Descriptions'!B33:C34,2,0)</f>
        <v>Apply a cost to emissons associated with upstream natural gas production</v>
      </c>
      <c r="F14" s="15"/>
      <c r="L14" s="145"/>
    </row>
    <row r="15" spans="2:12" s="330" customFormat="1" x14ac:dyDescent="0.25">
      <c r="B15" s="18" t="s">
        <v>379</v>
      </c>
      <c r="C15" s="253" t="s">
        <v>198</v>
      </c>
      <c r="D15" s="330" t="str">
        <f>VLOOKUP(bio_production_cost,'Model Descriptions'!B36:C37,2,0)</f>
        <v>Apply a cost to emissons associated with upstream biogas production</v>
      </c>
      <c r="F15" s="15"/>
      <c r="L15" s="145"/>
    </row>
    <row r="16" spans="2:12" s="330" customFormat="1" x14ac:dyDescent="0.25">
      <c r="B16" s="18" t="s">
        <v>366</v>
      </c>
      <c r="C16" s="253" t="s">
        <v>198</v>
      </c>
      <c r="D16" s="330" t="str">
        <f>VLOOKUP(ng_combustion_cost,'Model Descriptions'!B39:C40,2,0)</f>
        <v>Apply a cost to emissons associated with natural gas combustion</v>
      </c>
      <c r="F16" s="15"/>
      <c r="L16" s="145"/>
    </row>
    <row r="17" spans="1:53" x14ac:dyDescent="0.25">
      <c r="B17" s="18" t="s">
        <v>350</v>
      </c>
      <c r="C17" s="253" t="s">
        <v>198</v>
      </c>
      <c r="D17" t="str">
        <f>VLOOKUP(embedded_emissions_cost,'Model Descriptions'!B42:C43,2,0)</f>
        <v>Apply a cost to embedded emissions</v>
      </c>
      <c r="F17" s="15"/>
      <c r="L17" s="145"/>
    </row>
    <row r="18" spans="1:53" ht="15.75" customHeight="1" x14ac:dyDescent="0.25">
      <c r="B18" s="18" t="s">
        <v>126</v>
      </c>
      <c r="C18" s="253" t="s">
        <v>198</v>
      </c>
      <c r="D18" t="str">
        <f>VLOOKUP(seq_credit,'Model Descriptions'!B30:C31,2,0)</f>
        <v>Apply a negative cost (renvenue) to sequestered emissions in the biogas CCS pathway</v>
      </c>
    </row>
    <row r="19" spans="1:53" s="330" customFormat="1" x14ac:dyDescent="0.25">
      <c r="B19" s="352" t="s">
        <v>375</v>
      </c>
      <c r="C19" s="352"/>
      <c r="E19" s="15"/>
      <c r="F19" s="15"/>
    </row>
    <row r="20" spans="1:53" x14ac:dyDescent="0.25">
      <c r="B20" s="18" t="s">
        <v>67</v>
      </c>
      <c r="C20" s="253" t="s">
        <v>237</v>
      </c>
      <c r="D20" t="str">
        <f>VLOOKUP(electricity_price,'Model Descriptions'!B48:C53,2,0)</f>
        <v>Use electricity prices by service category: generation in reference case of the EIA's 2020 AEO (Table 8)</v>
      </c>
      <c r="F20" s="15"/>
      <c r="L20" s="145"/>
    </row>
    <row r="21" spans="1:53" ht="15.75" customHeight="1" x14ac:dyDescent="0.25">
      <c r="B21" s="18" t="s">
        <v>31</v>
      </c>
      <c r="C21" s="253" t="s">
        <v>234</v>
      </c>
      <c r="D21" t="str">
        <f>VLOOKUP(C21,'Model Descriptions'!B55:C57,2,0)</f>
        <v>Input and use a flat projection for capacity factor</v>
      </c>
      <c r="F21" s="15"/>
      <c r="L21" s="145"/>
    </row>
    <row r="22" spans="1:53" ht="15.75" customHeight="1" x14ac:dyDescent="0.25">
      <c r="B22" s="18" t="s">
        <v>118</v>
      </c>
      <c r="C22" s="253" t="s">
        <v>237</v>
      </c>
      <c r="D22" t="str">
        <f>VLOOKUP(C22,'Model Descriptions'!B59:C64,2,0)</f>
        <v>Use delieverd natural gas prices for electric power from the reference case of the EIA's 2020 AEO (Table 13)</v>
      </c>
      <c r="F22" s="15"/>
    </row>
    <row r="23" spans="1:53" ht="15.75" customHeight="1" x14ac:dyDescent="0.25">
      <c r="B23" s="18" t="s">
        <v>119</v>
      </c>
      <c r="C23" s="253" t="s">
        <v>234</v>
      </c>
      <c r="D23" t="str">
        <f>VLOOKUP(C23,'Model Descriptions'!B66:C67,2,0)</f>
        <v>Input and use a flat projection for biogas cost</v>
      </c>
    </row>
    <row r="24" spans="1:53" ht="15.75" customHeight="1" x14ac:dyDescent="0.25">
      <c r="B24" s="68" t="s">
        <v>284</v>
      </c>
      <c r="C24" s="255" t="s">
        <v>201</v>
      </c>
      <c r="D24" t="str">
        <f>VLOOKUP(C24,'Model Descriptions'!B69:C70,2,0)</f>
        <v>Input and use a custom value for CCS capital costs</v>
      </c>
    </row>
    <row r="25" spans="1:53" ht="15.75" customHeight="1" x14ac:dyDescent="0.25">
      <c r="B25" s="18"/>
      <c r="C25" s="15"/>
    </row>
    <row r="26" spans="1:53" s="30" customFormat="1" x14ac:dyDescent="0.25">
      <c r="A26"/>
      <c r="B26" s="250" t="s">
        <v>203</v>
      </c>
      <c r="C26" s="251" t="s">
        <v>113</v>
      </c>
      <c r="D26" s="251" t="s">
        <v>206</v>
      </c>
      <c r="E26" s="350" t="s">
        <v>204</v>
      </c>
      <c r="F26" s="165" t="s">
        <v>207</v>
      </c>
      <c r="G26" s="163">
        <v>2017</v>
      </c>
      <c r="H26" s="163">
        <v>2018</v>
      </c>
      <c r="I26" s="163">
        <v>2019</v>
      </c>
      <c r="J26" s="163">
        <v>2020</v>
      </c>
      <c r="K26" s="163">
        <v>2021</v>
      </c>
      <c r="L26" s="163">
        <v>2022</v>
      </c>
      <c r="M26" s="163">
        <v>2023</v>
      </c>
      <c r="N26" s="163">
        <v>2024</v>
      </c>
      <c r="O26" s="163">
        <v>2025</v>
      </c>
      <c r="P26" s="163">
        <v>2026</v>
      </c>
      <c r="Q26" s="163">
        <v>2027</v>
      </c>
      <c r="R26" s="163">
        <v>2028</v>
      </c>
      <c r="S26" s="163">
        <v>2029</v>
      </c>
      <c r="T26" s="163">
        <v>2030</v>
      </c>
      <c r="U26" s="163">
        <v>2031</v>
      </c>
      <c r="V26" s="163">
        <v>2032</v>
      </c>
      <c r="W26" s="163">
        <v>2033</v>
      </c>
      <c r="X26" s="163">
        <v>2034</v>
      </c>
      <c r="Y26" s="163">
        <v>2035</v>
      </c>
      <c r="Z26" s="163">
        <v>2036</v>
      </c>
      <c r="AA26" s="163">
        <v>2037</v>
      </c>
      <c r="AB26" s="163">
        <v>2038</v>
      </c>
      <c r="AC26" s="163">
        <v>2039</v>
      </c>
      <c r="AD26" s="163">
        <v>2040</v>
      </c>
      <c r="AE26" s="163">
        <v>2041</v>
      </c>
      <c r="AF26" s="163">
        <v>2042</v>
      </c>
      <c r="AG26" s="163">
        <v>2043</v>
      </c>
      <c r="AH26" s="163">
        <v>2044</v>
      </c>
      <c r="AI26" s="163">
        <v>2045</v>
      </c>
      <c r="AJ26" s="163">
        <v>2046</v>
      </c>
      <c r="AK26" s="214">
        <v>2047</v>
      </c>
      <c r="AL26" s="214">
        <v>2048</v>
      </c>
      <c r="AM26" s="214">
        <v>2049</v>
      </c>
      <c r="AN26" s="214">
        <v>2050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ht="15.75" customHeight="1" x14ac:dyDescent="0.25">
      <c r="B27" s="292" t="s">
        <v>120</v>
      </c>
      <c r="C27" s="249" t="s">
        <v>117</v>
      </c>
      <c r="D27" s="293">
        <v>40</v>
      </c>
      <c r="E27" s="351"/>
      <c r="F27" s="155" t="s">
        <v>205</v>
      </c>
      <c r="G27" s="257">
        <v>40</v>
      </c>
      <c r="H27" s="257">
        <v>41</v>
      </c>
      <c r="I27" s="257">
        <v>42</v>
      </c>
      <c r="J27" s="257">
        <v>43</v>
      </c>
      <c r="K27" s="257">
        <v>44</v>
      </c>
      <c r="L27" s="257">
        <v>45</v>
      </c>
      <c r="M27" s="257">
        <v>46</v>
      </c>
      <c r="N27" s="257">
        <v>47</v>
      </c>
      <c r="O27" s="257">
        <v>48</v>
      </c>
      <c r="P27" s="257">
        <v>49</v>
      </c>
      <c r="Q27" s="257">
        <v>50</v>
      </c>
      <c r="R27" s="257">
        <v>51</v>
      </c>
      <c r="S27" s="257">
        <v>52</v>
      </c>
      <c r="T27" s="257">
        <v>53</v>
      </c>
      <c r="U27" s="257">
        <v>54</v>
      </c>
      <c r="V27" s="257">
        <v>55</v>
      </c>
      <c r="W27" s="257">
        <v>56</v>
      </c>
      <c r="X27" s="257">
        <v>57</v>
      </c>
      <c r="Y27" s="257">
        <v>58</v>
      </c>
      <c r="Z27" s="257">
        <v>59</v>
      </c>
      <c r="AA27" s="257">
        <v>60</v>
      </c>
      <c r="AB27" s="257">
        <v>61</v>
      </c>
      <c r="AC27" s="257">
        <v>62</v>
      </c>
      <c r="AD27" s="257">
        <v>63</v>
      </c>
      <c r="AE27" s="257">
        <v>64</v>
      </c>
      <c r="AF27" s="257">
        <v>65</v>
      </c>
      <c r="AG27" s="257">
        <v>66</v>
      </c>
      <c r="AH27" s="257">
        <v>67</v>
      </c>
      <c r="AI27" s="257">
        <v>68</v>
      </c>
      <c r="AJ27" s="257">
        <v>69</v>
      </c>
      <c r="AK27" s="257">
        <v>70</v>
      </c>
      <c r="AL27" s="257">
        <v>71</v>
      </c>
      <c r="AM27" s="257">
        <v>72</v>
      </c>
      <c r="AN27" s="257">
        <v>73</v>
      </c>
    </row>
    <row r="28" spans="1:53" ht="15.75" customHeight="1" x14ac:dyDescent="0.25">
      <c r="B28" s="294" t="s">
        <v>67</v>
      </c>
      <c r="C28" s="63" t="s">
        <v>114</v>
      </c>
      <c r="D28" s="295">
        <v>5</v>
      </c>
      <c r="E28" s="351"/>
      <c r="F28" s="155" t="s">
        <v>205</v>
      </c>
      <c r="G28" s="257">
        <v>5</v>
      </c>
      <c r="H28" s="257">
        <v>4.9000000000000004</v>
      </c>
      <c r="I28" s="257">
        <v>4.8</v>
      </c>
      <c r="J28" s="257">
        <v>4.7</v>
      </c>
      <c r="K28" s="257">
        <v>4.5999999999999996</v>
      </c>
      <c r="L28" s="257">
        <v>4.5</v>
      </c>
      <c r="M28" s="257">
        <v>4.4000000000000004</v>
      </c>
      <c r="N28" s="257">
        <v>4.3</v>
      </c>
      <c r="O28" s="257">
        <v>4.2</v>
      </c>
      <c r="P28" s="257">
        <v>4.0999999999999996</v>
      </c>
      <c r="Q28" s="257">
        <v>4</v>
      </c>
      <c r="R28" s="257">
        <v>3.9</v>
      </c>
      <c r="S28" s="257">
        <v>3.8</v>
      </c>
      <c r="T28" s="257">
        <v>3.7</v>
      </c>
      <c r="U28" s="257">
        <v>3.6</v>
      </c>
      <c r="V28" s="257">
        <v>3.5000000000000102</v>
      </c>
      <c r="W28" s="257">
        <v>3.4000000000000101</v>
      </c>
      <c r="X28" s="257">
        <v>3.30000000000001</v>
      </c>
      <c r="Y28" s="257">
        <v>3.2000000000000099</v>
      </c>
      <c r="Z28" s="257">
        <v>3.1000000000000099</v>
      </c>
      <c r="AA28" s="257">
        <v>3.0000000000000102</v>
      </c>
      <c r="AB28" s="257">
        <v>2.9000000000000101</v>
      </c>
      <c r="AC28" s="257">
        <v>2.80000000000001</v>
      </c>
      <c r="AD28" s="257">
        <v>2.7000000000000099</v>
      </c>
      <c r="AE28" s="257">
        <v>2.6000000000000099</v>
      </c>
      <c r="AF28" s="257">
        <v>2.5000000000000102</v>
      </c>
      <c r="AG28" s="257">
        <v>2.4000000000000101</v>
      </c>
      <c r="AH28" s="257">
        <v>2.30000000000001</v>
      </c>
      <c r="AI28" s="257">
        <v>2.2000000000000099</v>
      </c>
      <c r="AJ28" s="257">
        <v>2.1000000000000099</v>
      </c>
      <c r="AK28" s="257">
        <v>2.0000000000000102</v>
      </c>
      <c r="AL28" s="257">
        <v>1.9000000000000099</v>
      </c>
      <c r="AM28" s="257">
        <v>1.80000000000001</v>
      </c>
      <c r="AN28" s="257">
        <v>1.7000000000000099</v>
      </c>
    </row>
    <row r="29" spans="1:53" ht="15.75" customHeight="1" x14ac:dyDescent="0.25">
      <c r="B29" s="294" t="s">
        <v>31</v>
      </c>
      <c r="C29" s="63" t="s">
        <v>36</v>
      </c>
      <c r="D29" s="295">
        <v>0.57999999999999996</v>
      </c>
      <c r="E29" s="351"/>
      <c r="F29" s="234" t="s">
        <v>205</v>
      </c>
      <c r="G29" s="258">
        <v>0.57999999999999996</v>
      </c>
      <c r="H29" s="258">
        <v>0.57999999999999996</v>
      </c>
      <c r="I29" s="258">
        <v>0.57999999999999996</v>
      </c>
      <c r="J29" s="258">
        <v>0.57999999999999996</v>
      </c>
      <c r="K29" s="258">
        <v>0.57999999999999996</v>
      </c>
      <c r="L29" s="258">
        <v>0.57999999999999996</v>
      </c>
      <c r="M29" s="258">
        <v>0.57999999999999996</v>
      </c>
      <c r="N29" s="258">
        <v>0.57999999999999996</v>
      </c>
      <c r="O29" s="258">
        <v>0.87</v>
      </c>
      <c r="P29" s="258">
        <v>0.87</v>
      </c>
      <c r="Q29" s="258">
        <v>0.87</v>
      </c>
      <c r="R29" s="258">
        <v>0.87</v>
      </c>
      <c r="S29" s="258">
        <v>0.87</v>
      </c>
      <c r="T29" s="258">
        <v>0.87</v>
      </c>
      <c r="U29" s="258">
        <v>0.87</v>
      </c>
      <c r="V29" s="258">
        <v>0.87</v>
      </c>
      <c r="W29" s="258">
        <v>0.87</v>
      </c>
      <c r="X29" s="258">
        <v>0.87</v>
      </c>
      <c r="Y29" s="258">
        <v>0.87</v>
      </c>
      <c r="Z29" s="258">
        <v>0.87</v>
      </c>
      <c r="AA29" s="258">
        <v>0.87</v>
      </c>
      <c r="AB29" s="258">
        <v>0.87</v>
      </c>
      <c r="AC29" s="258">
        <v>0.87</v>
      </c>
      <c r="AD29" s="258">
        <v>0.87</v>
      </c>
      <c r="AE29" s="258">
        <v>0.87</v>
      </c>
      <c r="AF29" s="258">
        <v>0.87</v>
      </c>
      <c r="AG29" s="258">
        <v>0.87</v>
      </c>
      <c r="AH29" s="258">
        <v>0.87</v>
      </c>
      <c r="AI29" s="258">
        <v>0.87</v>
      </c>
      <c r="AJ29" s="258">
        <v>0.87</v>
      </c>
      <c r="AK29" s="258">
        <v>0.87</v>
      </c>
      <c r="AL29" s="258">
        <v>0.87</v>
      </c>
      <c r="AM29" s="258">
        <v>0.87</v>
      </c>
      <c r="AN29" s="258">
        <v>0.87</v>
      </c>
    </row>
    <row r="30" spans="1:53" ht="15.75" customHeight="1" x14ac:dyDescent="0.25">
      <c r="B30" s="294" t="s">
        <v>118</v>
      </c>
      <c r="C30" s="63" t="s">
        <v>103</v>
      </c>
      <c r="D30" s="295">
        <v>2</v>
      </c>
      <c r="E30" s="351"/>
      <c r="F30" s="155" t="s">
        <v>205</v>
      </c>
      <c r="G30" s="257">
        <v>2.6</v>
      </c>
      <c r="H30" s="257">
        <v>2.61</v>
      </c>
      <c r="I30" s="257">
        <v>2.62</v>
      </c>
      <c r="J30" s="257">
        <v>2.63</v>
      </c>
      <c r="K30" s="257">
        <v>2.64</v>
      </c>
      <c r="L30" s="257">
        <v>2.65</v>
      </c>
      <c r="M30" s="257">
        <v>2.66</v>
      </c>
      <c r="N30" s="257">
        <v>2.67</v>
      </c>
      <c r="O30" s="257">
        <v>2.68</v>
      </c>
      <c r="P30" s="257">
        <v>2.69</v>
      </c>
      <c r="Q30" s="257">
        <v>2.7</v>
      </c>
      <c r="R30" s="257">
        <v>2.71</v>
      </c>
      <c r="S30" s="257">
        <v>2.72</v>
      </c>
      <c r="T30" s="257">
        <v>2.73</v>
      </c>
      <c r="U30" s="257">
        <v>2.74</v>
      </c>
      <c r="V30" s="257">
        <v>2.75</v>
      </c>
      <c r="W30" s="257">
        <v>2.76</v>
      </c>
      <c r="X30" s="257">
        <v>2.77</v>
      </c>
      <c r="Y30" s="257">
        <v>2.78</v>
      </c>
      <c r="Z30" s="257">
        <v>2.79</v>
      </c>
      <c r="AA30" s="257">
        <v>2.8</v>
      </c>
      <c r="AB30" s="257">
        <v>2.81</v>
      </c>
      <c r="AC30" s="257">
        <v>2.8199999999999901</v>
      </c>
      <c r="AD30" s="257">
        <v>2.83</v>
      </c>
      <c r="AE30" s="257">
        <v>2.8399999999999901</v>
      </c>
      <c r="AF30" s="257">
        <v>2.85</v>
      </c>
      <c r="AG30" s="257">
        <v>2.8599999999999901</v>
      </c>
      <c r="AH30" s="257">
        <v>2.8699999999999899</v>
      </c>
      <c r="AI30" s="257">
        <v>2.8799999999999901</v>
      </c>
      <c r="AJ30" s="257">
        <v>2.8899999999999899</v>
      </c>
      <c r="AK30" s="257">
        <v>2.8999999999999901</v>
      </c>
      <c r="AL30" s="257">
        <v>2.9099999999999899</v>
      </c>
      <c r="AM30" s="257">
        <v>2.9199999999999902</v>
      </c>
      <c r="AN30" s="257">
        <v>2.9299999999999899</v>
      </c>
    </row>
    <row r="31" spans="1:53" ht="15.75" customHeight="1" x14ac:dyDescent="0.25">
      <c r="B31" s="294" t="s">
        <v>119</v>
      </c>
      <c r="C31" s="63" t="s">
        <v>103</v>
      </c>
      <c r="D31" s="295">
        <v>10</v>
      </c>
      <c r="E31" s="351"/>
      <c r="F31" s="156" t="s">
        <v>205</v>
      </c>
      <c r="G31" s="259">
        <v>10</v>
      </c>
      <c r="H31" s="259">
        <v>9.8000000000000007</v>
      </c>
      <c r="I31" s="259">
        <v>9.6</v>
      </c>
      <c r="J31" s="259">
        <v>9.4</v>
      </c>
      <c r="K31" s="259">
        <v>9.1999999999999993</v>
      </c>
      <c r="L31" s="259">
        <v>9</v>
      </c>
      <c r="M31" s="259">
        <v>8.8000000000000007</v>
      </c>
      <c r="N31" s="259">
        <v>8.6</v>
      </c>
      <c r="O31" s="259">
        <v>8.4000000000000092</v>
      </c>
      <c r="P31" s="259">
        <v>8.2000000000000099</v>
      </c>
      <c r="Q31" s="259">
        <v>8.0000000000000107</v>
      </c>
      <c r="R31" s="259">
        <v>7.8000000000000096</v>
      </c>
      <c r="S31" s="259">
        <v>7.6000000000000103</v>
      </c>
      <c r="T31" s="259">
        <v>7.4000000000000101</v>
      </c>
      <c r="U31" s="259">
        <v>7.2000000000000099</v>
      </c>
      <c r="V31" s="259">
        <v>7.0000000000000098</v>
      </c>
      <c r="W31" s="259">
        <v>6.8000000000000096</v>
      </c>
      <c r="X31" s="259">
        <v>6.6000000000000103</v>
      </c>
      <c r="Y31" s="259">
        <v>6.4000000000000101</v>
      </c>
      <c r="Z31" s="259">
        <v>6.2000000000000099</v>
      </c>
      <c r="AA31" s="259">
        <v>6.0000000000000098</v>
      </c>
      <c r="AB31" s="259">
        <v>5.8000000000000096</v>
      </c>
      <c r="AC31" s="259">
        <v>5.6000000000000201</v>
      </c>
      <c r="AD31" s="259">
        <v>5.4000000000000199</v>
      </c>
      <c r="AE31" s="259">
        <v>5.2000000000000197</v>
      </c>
      <c r="AF31" s="259">
        <v>5.0000000000000204</v>
      </c>
      <c r="AG31" s="259">
        <v>4.8000000000000203</v>
      </c>
      <c r="AH31" s="259">
        <v>4.6000000000000201</v>
      </c>
      <c r="AI31" s="259">
        <v>4.4000000000000199</v>
      </c>
      <c r="AJ31" s="259">
        <v>4.2000000000000197</v>
      </c>
      <c r="AK31" s="259">
        <v>4.0000000000000204</v>
      </c>
      <c r="AL31" s="259">
        <v>3.8000000000000198</v>
      </c>
      <c r="AM31" s="259">
        <v>3.6000000000000201</v>
      </c>
      <c r="AN31" s="259">
        <v>3.4000000000000199</v>
      </c>
    </row>
    <row r="32" spans="1:53" ht="15.75" customHeight="1" x14ac:dyDescent="0.25">
      <c r="B32" s="296" t="s">
        <v>284</v>
      </c>
      <c r="C32" s="63" t="s">
        <v>285</v>
      </c>
      <c r="D32" s="295">
        <v>1797</v>
      </c>
      <c r="E32" s="248"/>
      <c r="F32" s="15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</row>
    <row r="33" spans="2:40" ht="15.75" customHeight="1" x14ac:dyDescent="0.25">
      <c r="B33" s="297" t="s">
        <v>322</v>
      </c>
      <c r="C33" s="154" t="s">
        <v>323</v>
      </c>
      <c r="D33" s="256">
        <v>7.53</v>
      </c>
      <c r="E33" s="248"/>
      <c r="F33" s="289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</row>
    <row r="34" spans="2:40" ht="15.75" customHeight="1" x14ac:dyDescent="0.25">
      <c r="B34" s="239"/>
      <c r="E34" s="30"/>
    </row>
    <row r="35" spans="2:40" s="28" customFormat="1" ht="15.75" customHeight="1" x14ac:dyDescent="0.25">
      <c r="B35" s="29" t="s">
        <v>104</v>
      </c>
    </row>
    <row r="36" spans="2:40" ht="15.75" customHeight="1" x14ac:dyDescent="0.25"/>
    <row r="37" spans="2:40" ht="15.75" customHeight="1" x14ac:dyDescent="0.25">
      <c r="B37" s="148" t="s">
        <v>278</v>
      </c>
      <c r="C37" s="167" t="s">
        <v>386</v>
      </c>
      <c r="D37" s="155"/>
      <c r="E37" s="155"/>
      <c r="F37" s="5"/>
      <c r="G37" s="5"/>
      <c r="H37" s="5"/>
      <c r="I37" s="15"/>
      <c r="J37" s="15"/>
      <c r="K37" s="15"/>
    </row>
    <row r="38" spans="2:40" ht="15.75" customHeight="1" x14ac:dyDescent="0.25">
      <c r="B38" s="48" t="s">
        <v>105</v>
      </c>
      <c r="C38" s="252">
        <v>233.67</v>
      </c>
      <c r="D38" s="15"/>
      <c r="E38" s="15"/>
      <c r="F38" s="15"/>
      <c r="G38" s="15"/>
      <c r="H38" s="15"/>
    </row>
    <row r="39" spans="2:40" ht="15.75" customHeight="1" x14ac:dyDescent="0.25">
      <c r="B39" s="18"/>
      <c r="C39" s="63"/>
    </row>
    <row r="40" spans="2:40" x14ac:dyDescent="0.25">
      <c r="I40" s="291"/>
    </row>
    <row r="44" spans="2:40" x14ac:dyDescent="0.25">
      <c r="H44" s="330"/>
      <c r="I44" s="330"/>
      <c r="L44" s="330"/>
      <c r="M44" s="347"/>
      <c r="N44" s="347"/>
      <c r="O44" s="347"/>
      <c r="P44" s="347"/>
    </row>
    <row r="45" spans="2:40" x14ac:dyDescent="0.25">
      <c r="O45" s="330"/>
      <c r="P45" s="330"/>
    </row>
    <row r="46" spans="2:40" x14ac:dyDescent="0.25">
      <c r="H46" s="332"/>
      <c r="I46" s="332"/>
      <c r="J46" s="332"/>
    </row>
    <row r="47" spans="2:40" x14ac:dyDescent="0.25">
      <c r="H47" s="333"/>
      <c r="I47" s="332"/>
      <c r="J47" s="332"/>
    </row>
    <row r="48" spans="2:40" x14ac:dyDescent="0.25">
      <c r="H48" s="333"/>
      <c r="I48" s="332"/>
      <c r="J48" s="332"/>
    </row>
    <row r="49" spans="1:49" x14ac:dyDescent="0.25">
      <c r="H49" s="333"/>
      <c r="I49" s="332"/>
      <c r="J49" s="332"/>
    </row>
    <row r="50" spans="1:49" x14ac:dyDescent="0.25">
      <c r="H50" s="333"/>
      <c r="I50" s="332"/>
      <c r="J50" s="332"/>
    </row>
    <row r="62" spans="1:49" x14ac:dyDescent="0.25">
      <c r="A62" s="30"/>
      <c r="B62" s="86" t="s">
        <v>0</v>
      </c>
      <c r="C62" s="86">
        <v>2017</v>
      </c>
      <c r="D62" s="86">
        <v>2018</v>
      </c>
      <c r="E62" s="86">
        <v>2019</v>
      </c>
      <c r="F62" s="86">
        <v>2020</v>
      </c>
      <c r="G62" s="86">
        <v>2021</v>
      </c>
      <c r="H62" s="86">
        <v>2022</v>
      </c>
      <c r="I62" s="86">
        <v>2023</v>
      </c>
      <c r="J62" s="86">
        <v>2024</v>
      </c>
      <c r="K62" s="86">
        <v>2025</v>
      </c>
      <c r="L62" s="86">
        <v>2026</v>
      </c>
      <c r="M62" s="86">
        <v>2027</v>
      </c>
      <c r="N62" s="86">
        <v>2028</v>
      </c>
      <c r="O62" s="86">
        <v>2029</v>
      </c>
      <c r="P62" s="86">
        <v>2030</v>
      </c>
      <c r="Q62" s="86">
        <v>2031</v>
      </c>
      <c r="R62" s="86">
        <v>2032</v>
      </c>
      <c r="S62" s="86">
        <v>2033</v>
      </c>
      <c r="T62" s="86">
        <v>2034</v>
      </c>
      <c r="U62" s="86">
        <v>2035</v>
      </c>
      <c r="V62" s="86">
        <v>2036</v>
      </c>
      <c r="W62" s="86">
        <v>2037</v>
      </c>
      <c r="X62" s="86">
        <v>2038</v>
      </c>
      <c r="Y62" s="86">
        <v>2039</v>
      </c>
      <c r="Z62" s="86">
        <v>2040</v>
      </c>
      <c r="AA62" s="86">
        <v>2041</v>
      </c>
      <c r="AB62" s="86">
        <v>2042</v>
      </c>
      <c r="AC62" s="86">
        <v>2043</v>
      </c>
      <c r="AD62" s="86">
        <v>2044</v>
      </c>
      <c r="AE62" s="86">
        <v>2045</v>
      </c>
      <c r="AF62" s="86">
        <v>2046</v>
      </c>
      <c r="AG62" s="86">
        <v>2047</v>
      </c>
      <c r="AH62" s="86">
        <v>2048</v>
      </c>
      <c r="AI62" s="86">
        <v>2049</v>
      </c>
      <c r="AJ62" s="86">
        <v>2050</v>
      </c>
      <c r="AK62" s="330"/>
      <c r="AL62" s="330"/>
      <c r="AM62" s="330"/>
      <c r="AN62" s="330"/>
      <c r="AO62" s="330"/>
      <c r="AP62" s="330"/>
      <c r="AQ62" s="330"/>
      <c r="AR62" s="330"/>
      <c r="AS62" s="330"/>
      <c r="AT62" s="330"/>
      <c r="AU62" s="330"/>
      <c r="AV62" s="330"/>
      <c r="AW62" s="330"/>
    </row>
    <row r="63" spans="1:49" x14ac:dyDescent="0.25">
      <c r="B63" t="s">
        <v>98</v>
      </c>
      <c r="C63" s="140">
        <f>IF(ignore_past_costs="yes",IF(C62&lt;year_of_decision,0,-SUM(C233,C235,C238,C240,C246,C263)*C266),-SUM(C233,C235,C238,C240,C246,C263)*C266)</f>
        <v>-448.78162891104017</v>
      </c>
      <c r="D63" s="140">
        <f>IF(ignore_past_costs="yes",IF(D62&lt;year_of_decision,0,-SUM(D233,D235,D238,D240,D246,D263)*D266),-SUM(D233,D235,D238,D240,D246,D263)*D266)</f>
        <v>-73.115056188000011</v>
      </c>
      <c r="E63" s="140">
        <f>IF(ignore_past_costs="yes",IF(E62&lt;year_of_decision,0,-SUM(E233,E235,E238,E240,E246,E263)*E266),-SUM(E233,E235,E238,E240,E246,E263)*E266)</f>
        <v>-69.560748000000004</v>
      </c>
      <c r="F63" s="140">
        <f t="shared" ref="F63:AJ63" si="0">IF(ignore_past_costs="yes",IF(F62&lt;year_of_decision,0,-SUM(F233,F234,F238,F239,F246,F263)*F266),-SUM(F233,F234,F238,F239,F246,F263)*F266)</f>
        <v>-216.28792866510474</v>
      </c>
      <c r="G63" s="140">
        <f t="shared" si="0"/>
        <v>-191.2826163827217</v>
      </c>
      <c r="H63" s="140">
        <f t="shared" si="0"/>
        <v>-176.58109634531633</v>
      </c>
      <c r="I63" s="140">
        <f t="shared" si="0"/>
        <v>-164.35509200860324</v>
      </c>
      <c r="J63" s="140">
        <f t="shared" si="0"/>
        <v>-154.97303630456648</v>
      </c>
      <c r="K63" s="140">
        <f t="shared" si="0"/>
        <v>-148.29224708224544</v>
      </c>
      <c r="L63" s="140">
        <f t="shared" si="0"/>
        <v>-140.01968862974729</v>
      </c>
      <c r="M63" s="140">
        <f t="shared" si="0"/>
        <v>-130.36681786975859</v>
      </c>
      <c r="N63" s="140">
        <f t="shared" si="0"/>
        <v>-119.90397093177666</v>
      </c>
      <c r="O63" s="140">
        <f t="shared" si="0"/>
        <v>-109.38066897546776</v>
      </c>
      <c r="P63" s="140">
        <f t="shared" si="0"/>
        <v>-69.912872027380189</v>
      </c>
      <c r="Q63" s="140">
        <f t="shared" si="0"/>
        <v>-63.389687715746277</v>
      </c>
      <c r="R63" s="140">
        <f t="shared" si="0"/>
        <v>-57.997034146533707</v>
      </c>
      <c r="S63" s="140">
        <f t="shared" si="0"/>
        <v>-53.765569865108098</v>
      </c>
      <c r="T63" s="140">
        <f t="shared" si="0"/>
        <v>-49.627064895326697</v>
      </c>
      <c r="U63" s="140">
        <f t="shared" si="0"/>
        <v>-47.344910730439885</v>
      </c>
      <c r="V63" s="140">
        <f t="shared" si="0"/>
        <v>-45.233789167112022</v>
      </c>
      <c r="W63" s="140">
        <f t="shared" si="0"/>
        <v>-41.595720289477065</v>
      </c>
      <c r="X63" s="140">
        <f t="shared" si="0"/>
        <v>-38.297094490264364</v>
      </c>
      <c r="Y63" s="140">
        <f t="shared" si="0"/>
        <v>-35.068854288030757</v>
      </c>
      <c r="Z63" s="140">
        <f t="shared" si="0"/>
        <v>-32.049385697392822</v>
      </c>
      <c r="AA63" s="140">
        <f t="shared" si="0"/>
        <v>-29.320601989859266</v>
      </c>
      <c r="AB63" s="140">
        <f t="shared" si="0"/>
        <v>-26.87222688997306</v>
      </c>
      <c r="AC63" s="140">
        <f t="shared" si="0"/>
        <v>-24.625948426332648</v>
      </c>
      <c r="AD63" s="140">
        <f t="shared" si="0"/>
        <v>-22.638141152518301</v>
      </c>
      <c r="AE63" s="140">
        <f t="shared" si="0"/>
        <v>-20.774523253613832</v>
      </c>
      <c r="AF63" s="140">
        <f t="shared" si="0"/>
        <v>-19.140905592369265</v>
      </c>
      <c r="AG63" s="140">
        <f t="shared" si="0"/>
        <v>-17.714341767525816</v>
      </c>
      <c r="AH63" s="140">
        <f t="shared" si="0"/>
        <v>-16.322667894926791</v>
      </c>
      <c r="AI63" s="140">
        <f t="shared" si="0"/>
        <v>-15.005779930530524</v>
      </c>
      <c r="AJ63" s="140">
        <f t="shared" si="0"/>
        <v>-13.879189640754692</v>
      </c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0"/>
      <c r="AV63" s="330"/>
      <c r="AW63" s="330"/>
    </row>
    <row r="64" spans="1:49" x14ac:dyDescent="0.25">
      <c r="B64" t="s">
        <v>102</v>
      </c>
      <c r="C64" s="140">
        <f t="shared" ref="C64:AJ64" si="1">IF(ignore_past_costs="yes",IF(C62&lt;year_of_decision,0,-SUM(C248:C250)*C266),-SUM(C248:C250)*C266)</f>
        <v>0</v>
      </c>
      <c r="D64" s="140">
        <f t="shared" si="1"/>
        <v>0</v>
      </c>
      <c r="E64" s="140">
        <f t="shared" si="1"/>
        <v>0</v>
      </c>
      <c r="F64" s="140">
        <f t="shared" si="1"/>
        <v>0</v>
      </c>
      <c r="G64" s="140">
        <f t="shared" si="1"/>
        <v>0</v>
      </c>
      <c r="H64" s="140">
        <f t="shared" si="1"/>
        <v>0</v>
      </c>
      <c r="I64" s="140">
        <f t="shared" si="1"/>
        <v>0</v>
      </c>
      <c r="J64" s="140">
        <f t="shared" si="1"/>
        <v>0</v>
      </c>
      <c r="K64" s="140">
        <f t="shared" si="1"/>
        <v>0</v>
      </c>
      <c r="L64" s="140">
        <f t="shared" si="1"/>
        <v>0</v>
      </c>
      <c r="M64" s="140">
        <f t="shared" si="1"/>
        <v>0</v>
      </c>
      <c r="N64" s="140">
        <f t="shared" si="1"/>
        <v>0</v>
      </c>
      <c r="O64" s="140">
        <f t="shared" si="1"/>
        <v>0</v>
      </c>
      <c r="P64" s="140">
        <f t="shared" si="1"/>
        <v>0</v>
      </c>
      <c r="Q64" s="140">
        <f t="shared" si="1"/>
        <v>0</v>
      </c>
      <c r="R64" s="140">
        <f t="shared" si="1"/>
        <v>0</v>
      </c>
      <c r="S64" s="140">
        <f t="shared" si="1"/>
        <v>0</v>
      </c>
      <c r="T64" s="140">
        <f t="shared" si="1"/>
        <v>0</v>
      </c>
      <c r="U64" s="140">
        <f t="shared" si="1"/>
        <v>0</v>
      </c>
      <c r="V64" s="140">
        <f t="shared" si="1"/>
        <v>0</v>
      </c>
      <c r="W64" s="140">
        <f t="shared" si="1"/>
        <v>0</v>
      </c>
      <c r="X64" s="140">
        <f t="shared" si="1"/>
        <v>0</v>
      </c>
      <c r="Y64" s="140">
        <f t="shared" si="1"/>
        <v>0</v>
      </c>
      <c r="Z64" s="140">
        <f t="shared" si="1"/>
        <v>0</v>
      </c>
      <c r="AA64" s="140">
        <f t="shared" si="1"/>
        <v>0</v>
      </c>
      <c r="AB64" s="140">
        <f t="shared" si="1"/>
        <v>0</v>
      </c>
      <c r="AC64" s="140">
        <f t="shared" si="1"/>
        <v>0</v>
      </c>
      <c r="AD64" s="140">
        <f t="shared" si="1"/>
        <v>0</v>
      </c>
      <c r="AE64" s="140">
        <f t="shared" si="1"/>
        <v>0</v>
      </c>
      <c r="AF64" s="140">
        <f t="shared" si="1"/>
        <v>0</v>
      </c>
      <c r="AG64" s="140">
        <f t="shared" si="1"/>
        <v>0</v>
      </c>
      <c r="AH64" s="140">
        <f t="shared" si="1"/>
        <v>0</v>
      </c>
      <c r="AI64" s="140">
        <f t="shared" si="1"/>
        <v>0</v>
      </c>
      <c r="AJ64" s="140">
        <f t="shared" si="1"/>
        <v>0</v>
      </c>
      <c r="AK64" s="330"/>
      <c r="AL64" s="330"/>
      <c r="AM64" s="330"/>
      <c r="AN64" s="330"/>
      <c r="AO64" s="330"/>
      <c r="AP64" s="330"/>
      <c r="AQ64" s="330"/>
      <c r="AR64" s="330"/>
      <c r="AS64" s="330"/>
      <c r="AT64" s="330"/>
      <c r="AU64" s="330"/>
      <c r="AV64" s="330"/>
      <c r="AW64" s="330"/>
    </row>
    <row r="65" spans="2:49" x14ac:dyDescent="0.25">
      <c r="B65" t="s">
        <v>99</v>
      </c>
      <c r="C65" s="27">
        <f t="shared" ref="C65:AJ65" si="2">IF(ignore_past_costs="yes",IF(C62&lt;year_of_decision,0,C245*C266),C245*C266)</f>
        <v>0</v>
      </c>
      <c r="D65" s="27">
        <f t="shared" si="2"/>
        <v>0</v>
      </c>
      <c r="E65" s="27">
        <f t="shared" si="2"/>
        <v>0</v>
      </c>
      <c r="F65" s="27">
        <f t="shared" si="2"/>
        <v>292.28511230399994</v>
      </c>
      <c r="G65" s="27">
        <f t="shared" si="2"/>
        <v>266.02509445871556</v>
      </c>
      <c r="H65" s="27">
        <f t="shared" si="2"/>
        <v>240.52107783519901</v>
      </c>
      <c r="I65" s="27">
        <f t="shared" si="2"/>
        <v>217.7861062941447</v>
      </c>
      <c r="J65" s="27">
        <f t="shared" si="2"/>
        <v>200.17137057488293</v>
      </c>
      <c r="K65" s="27">
        <f t="shared" si="2"/>
        <v>185.18147858845603</v>
      </c>
      <c r="L65" s="27">
        <f t="shared" si="2"/>
        <v>171.13581983133651</v>
      </c>
      <c r="M65" s="27">
        <f t="shared" si="2"/>
        <v>157.39411779298118</v>
      </c>
      <c r="N65" s="27">
        <f t="shared" si="2"/>
        <v>142.43154906852169</v>
      </c>
      <c r="O65" s="27">
        <f t="shared" si="2"/>
        <v>128.68544272109284</v>
      </c>
      <c r="P65" s="27">
        <f t="shared" si="2"/>
        <v>116.70732035862751</v>
      </c>
      <c r="Q65" s="27">
        <f t="shared" si="2"/>
        <v>105.36771201572776</v>
      </c>
      <c r="R65" s="27">
        <f t="shared" si="2"/>
        <v>95.209842167629617</v>
      </c>
      <c r="S65" s="27">
        <f t="shared" si="2"/>
        <v>87.350302026187194</v>
      </c>
      <c r="T65" s="27">
        <f t="shared" si="2"/>
        <v>79.765892700234176</v>
      </c>
      <c r="U65" s="27">
        <f t="shared" si="2"/>
        <v>72.048015859632528</v>
      </c>
      <c r="V65" s="27">
        <f t="shared" si="2"/>
        <v>65.545191818460438</v>
      </c>
      <c r="W65" s="27">
        <f t="shared" si="2"/>
        <v>59.637536992497658</v>
      </c>
      <c r="X65" s="27">
        <f t="shared" si="2"/>
        <v>54.804092950567778</v>
      </c>
      <c r="Y65" s="27">
        <f t="shared" si="2"/>
        <v>49.910804663435997</v>
      </c>
      <c r="Z65" s="27">
        <f t="shared" si="2"/>
        <v>45.200647846949728</v>
      </c>
      <c r="AA65" s="27">
        <f t="shared" si="2"/>
        <v>41.210377488266566</v>
      </c>
      <c r="AB65" s="27">
        <f t="shared" si="2"/>
        <v>37.564259716946573</v>
      </c>
      <c r="AC65" s="27">
        <f t="shared" si="2"/>
        <v>34.224190084292623</v>
      </c>
      <c r="AD65" s="27">
        <f t="shared" si="2"/>
        <v>31.369072731052505</v>
      </c>
      <c r="AE65" s="27">
        <f t="shared" si="2"/>
        <v>28.653299231976234</v>
      </c>
      <c r="AF65" s="27">
        <f t="shared" si="2"/>
        <v>26.158453095572511</v>
      </c>
      <c r="AG65" s="27">
        <f t="shared" si="2"/>
        <v>24.075657601077769</v>
      </c>
      <c r="AH65" s="27">
        <f t="shared" si="2"/>
        <v>22.046947762987877</v>
      </c>
      <c r="AI65" s="27">
        <f t="shared" si="2"/>
        <v>20.162021700243642</v>
      </c>
      <c r="AJ65" s="27">
        <f t="shared" si="2"/>
        <v>18.51672508431583</v>
      </c>
      <c r="AK65" s="330"/>
      <c r="AL65" s="330"/>
      <c r="AM65" s="330"/>
      <c r="AN65" s="330"/>
      <c r="AO65" s="330"/>
      <c r="AP65" s="330"/>
      <c r="AQ65" s="330"/>
      <c r="AR65" s="330"/>
      <c r="AS65" s="330"/>
      <c r="AT65" s="330"/>
      <c r="AU65" s="330"/>
      <c r="AV65" s="330"/>
      <c r="AW65" s="330"/>
    </row>
    <row r="66" spans="2:49" x14ac:dyDescent="0.25">
      <c r="B66" t="s">
        <v>100</v>
      </c>
      <c r="C66" s="140">
        <f t="shared" ref="C66:AJ66" si="3">IF(ignore_past_costs="yes",IF(C62&lt;year_of_decision,0,SUM(C63:C65)),SUM(C63:C65))</f>
        <v>-448.78162891104017</v>
      </c>
      <c r="D66" s="140">
        <f t="shared" si="3"/>
        <v>-73.115056188000011</v>
      </c>
      <c r="E66" s="140">
        <f t="shared" si="3"/>
        <v>-69.560748000000004</v>
      </c>
      <c r="F66" s="140">
        <f t="shared" si="3"/>
        <v>75.997183638895194</v>
      </c>
      <c r="G66" s="140">
        <f t="shared" si="3"/>
        <v>74.742478075993859</v>
      </c>
      <c r="H66" s="140">
        <f t="shared" si="3"/>
        <v>63.939981489882683</v>
      </c>
      <c r="I66" s="140">
        <f t="shared" si="3"/>
        <v>53.431014285541465</v>
      </c>
      <c r="J66" s="140">
        <f t="shared" si="3"/>
        <v>45.198334270316451</v>
      </c>
      <c r="K66" s="140">
        <f t="shared" si="3"/>
        <v>36.889231506210592</v>
      </c>
      <c r="L66" s="140">
        <f t="shared" si="3"/>
        <v>31.116131201589212</v>
      </c>
      <c r="M66" s="140">
        <f t="shared" si="3"/>
        <v>27.027299923222586</v>
      </c>
      <c r="N66" s="140">
        <f t="shared" si="3"/>
        <v>22.527578136745035</v>
      </c>
      <c r="O66" s="140">
        <f t="shared" si="3"/>
        <v>19.304773745625084</v>
      </c>
      <c r="P66" s="140">
        <f t="shared" si="3"/>
        <v>46.794448331247324</v>
      </c>
      <c r="Q66" s="140">
        <f t="shared" si="3"/>
        <v>41.978024299981485</v>
      </c>
      <c r="R66" s="140">
        <f t="shared" si="3"/>
        <v>37.21280802109591</v>
      </c>
      <c r="S66" s="140">
        <f t="shared" si="3"/>
        <v>33.584732161079096</v>
      </c>
      <c r="T66" s="140">
        <f t="shared" si="3"/>
        <v>30.138827804907478</v>
      </c>
      <c r="U66" s="140">
        <f t="shared" si="3"/>
        <v>24.703105129192643</v>
      </c>
      <c r="V66" s="140">
        <f t="shared" si="3"/>
        <v>20.311402651348416</v>
      </c>
      <c r="W66" s="140">
        <f t="shared" si="3"/>
        <v>18.041816703020594</v>
      </c>
      <c r="X66" s="140">
        <f t="shared" si="3"/>
        <v>16.506998460303414</v>
      </c>
      <c r="Y66" s="140">
        <f t="shared" si="3"/>
        <v>14.84195037540524</v>
      </c>
      <c r="Z66" s="140">
        <f t="shared" si="3"/>
        <v>13.151262149556906</v>
      </c>
      <c r="AA66" s="140">
        <f t="shared" si="3"/>
        <v>11.8897754984073</v>
      </c>
      <c r="AB66" s="140">
        <f t="shared" si="3"/>
        <v>10.692032826973513</v>
      </c>
      <c r="AC66" s="140">
        <f t="shared" si="3"/>
        <v>9.5982416579599743</v>
      </c>
      <c r="AD66" s="140">
        <f t="shared" si="3"/>
        <v>8.7309315785342037</v>
      </c>
      <c r="AE66" s="140">
        <f t="shared" si="3"/>
        <v>7.8787759783624018</v>
      </c>
      <c r="AF66" s="140">
        <f t="shared" si="3"/>
        <v>7.0175475032032466</v>
      </c>
      <c r="AG66" s="140">
        <f t="shared" si="3"/>
        <v>6.3613158335519522</v>
      </c>
      <c r="AH66" s="140">
        <f t="shared" si="3"/>
        <v>5.7242798680610854</v>
      </c>
      <c r="AI66" s="140">
        <f t="shared" si="3"/>
        <v>5.1562417697131178</v>
      </c>
      <c r="AJ66" s="140">
        <f t="shared" si="3"/>
        <v>4.6375354435611378</v>
      </c>
      <c r="AK66" s="330"/>
      <c r="AL66" s="330"/>
      <c r="AM66" s="330"/>
      <c r="AN66" s="330"/>
      <c r="AO66" s="330"/>
      <c r="AP66" s="330"/>
      <c r="AQ66" s="330"/>
      <c r="AR66" s="330"/>
      <c r="AS66" s="330"/>
      <c r="AT66" s="330"/>
      <c r="AU66" s="330"/>
      <c r="AV66" s="330"/>
      <c r="AW66" s="330"/>
    </row>
    <row r="67" spans="2:49" x14ac:dyDescent="0.25">
      <c r="B67" t="s">
        <v>101</v>
      </c>
      <c r="C67" s="140">
        <f>C66</f>
        <v>-448.78162891104017</v>
      </c>
      <c r="D67" s="140">
        <f t="shared" ref="D67:AJ67" si="4">D66+C67</f>
        <v>-521.89668509904016</v>
      </c>
      <c r="E67" s="140">
        <f t="shared" si="4"/>
        <v>-591.45743309904014</v>
      </c>
      <c r="F67" s="140">
        <f t="shared" si="4"/>
        <v>-515.46024946014495</v>
      </c>
      <c r="G67" s="140">
        <f t="shared" si="4"/>
        <v>-440.71777138415109</v>
      </c>
      <c r="H67" s="140">
        <f t="shared" si="4"/>
        <v>-376.77778989426838</v>
      </c>
      <c r="I67" s="140">
        <f t="shared" si="4"/>
        <v>-323.34677560872694</v>
      </c>
      <c r="J67" s="140">
        <f t="shared" si="4"/>
        <v>-278.14844133841052</v>
      </c>
      <c r="K67" s="140">
        <f t="shared" si="4"/>
        <v>-241.25920983219993</v>
      </c>
      <c r="L67" s="140">
        <f t="shared" si="4"/>
        <v>-210.14307863061072</v>
      </c>
      <c r="M67" s="140">
        <f t="shared" si="4"/>
        <v>-183.11577870738813</v>
      </c>
      <c r="N67" s="140">
        <f t="shared" si="4"/>
        <v>-160.5882005706431</v>
      </c>
      <c r="O67" s="140">
        <f t="shared" si="4"/>
        <v>-141.28342682501801</v>
      </c>
      <c r="P67" s="140">
        <f t="shared" si="4"/>
        <v>-94.488978493770688</v>
      </c>
      <c r="Q67" s="140">
        <f t="shared" si="4"/>
        <v>-52.510954193789203</v>
      </c>
      <c r="R67" s="140">
        <f t="shared" si="4"/>
        <v>-15.298146172693293</v>
      </c>
      <c r="S67" s="140">
        <f t="shared" si="4"/>
        <v>18.286585988385802</v>
      </c>
      <c r="T67" s="140">
        <f t="shared" si="4"/>
        <v>48.425413793293281</v>
      </c>
      <c r="U67" s="140">
        <f t="shared" si="4"/>
        <v>73.128518922485924</v>
      </c>
      <c r="V67" s="140">
        <f t="shared" si="4"/>
        <v>93.43992157383434</v>
      </c>
      <c r="W67" s="140">
        <f t="shared" si="4"/>
        <v>111.48173827685494</v>
      </c>
      <c r="X67" s="140">
        <f t="shared" si="4"/>
        <v>127.98873673715835</v>
      </c>
      <c r="Y67" s="140">
        <f t="shared" si="4"/>
        <v>142.8306871125636</v>
      </c>
      <c r="Z67" s="140">
        <f t="shared" si="4"/>
        <v>155.98194926212051</v>
      </c>
      <c r="AA67" s="140">
        <f t="shared" si="4"/>
        <v>167.8717247605278</v>
      </c>
      <c r="AB67" s="140">
        <f t="shared" si="4"/>
        <v>178.5637575875013</v>
      </c>
      <c r="AC67" s="140">
        <f t="shared" si="4"/>
        <v>188.16199924546129</v>
      </c>
      <c r="AD67" s="140">
        <f t="shared" si="4"/>
        <v>196.8929308239955</v>
      </c>
      <c r="AE67" s="140">
        <f t="shared" si="4"/>
        <v>204.7717068023579</v>
      </c>
      <c r="AF67" s="140">
        <f t="shared" si="4"/>
        <v>211.78925430556114</v>
      </c>
      <c r="AG67" s="140">
        <f t="shared" si="4"/>
        <v>218.15057013911309</v>
      </c>
      <c r="AH67" s="140">
        <f t="shared" si="4"/>
        <v>223.87485000717416</v>
      </c>
      <c r="AI67" s="140">
        <f t="shared" si="4"/>
        <v>229.03109177688728</v>
      </c>
      <c r="AJ67" s="140">
        <f t="shared" si="4"/>
        <v>233.66862722044843</v>
      </c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0"/>
      <c r="AV67" s="330"/>
      <c r="AW67" s="330"/>
    </row>
    <row r="68" spans="2:49" x14ac:dyDescent="0.25">
      <c r="B68" s="68" t="s">
        <v>280</v>
      </c>
      <c r="C68" s="68">
        <f>0</f>
        <v>0</v>
      </c>
      <c r="D68" s="68">
        <f>0</f>
        <v>0</v>
      </c>
      <c r="E68" s="68">
        <f>0</f>
        <v>0</v>
      </c>
      <c r="F68" s="68">
        <f>0</f>
        <v>0</v>
      </c>
      <c r="G68" s="68">
        <f>0</f>
        <v>0</v>
      </c>
      <c r="H68" s="68">
        <v>0</v>
      </c>
      <c r="I68" s="68">
        <f>0</f>
        <v>0</v>
      </c>
      <c r="J68" s="68">
        <f>0</f>
        <v>0</v>
      </c>
      <c r="K68" s="68">
        <f>0</f>
        <v>0</v>
      </c>
      <c r="L68" s="68">
        <f>0</f>
        <v>0</v>
      </c>
      <c r="M68" s="68">
        <f>0</f>
        <v>0</v>
      </c>
      <c r="N68" s="68">
        <f>0</f>
        <v>0</v>
      </c>
      <c r="O68" s="68">
        <f>0</f>
        <v>0</v>
      </c>
      <c r="P68" s="68">
        <f>0</f>
        <v>0</v>
      </c>
      <c r="Q68" s="68">
        <f>0</f>
        <v>0</v>
      </c>
      <c r="R68" s="68">
        <f>0</f>
        <v>0</v>
      </c>
      <c r="S68" s="68">
        <f>0</f>
        <v>0</v>
      </c>
      <c r="T68" s="68">
        <f>0</f>
        <v>0</v>
      </c>
      <c r="U68" s="68">
        <f>0</f>
        <v>0</v>
      </c>
      <c r="V68" s="68">
        <f>0</f>
        <v>0</v>
      </c>
      <c r="W68" s="68">
        <f>0</f>
        <v>0</v>
      </c>
      <c r="X68" s="68">
        <f>0</f>
        <v>0</v>
      </c>
      <c r="Y68" s="68">
        <f>0</f>
        <v>0</v>
      </c>
      <c r="Z68" s="68">
        <f>0</f>
        <v>0</v>
      </c>
      <c r="AA68" s="68">
        <f>0</f>
        <v>0</v>
      </c>
      <c r="AB68" s="68">
        <f>0</f>
        <v>0</v>
      </c>
      <c r="AC68" s="68">
        <f>0</f>
        <v>0</v>
      </c>
      <c r="AD68" s="68">
        <f>0</f>
        <v>0</v>
      </c>
      <c r="AE68" s="68">
        <f>0</f>
        <v>0</v>
      </c>
      <c r="AF68" s="68">
        <f>0</f>
        <v>0</v>
      </c>
      <c r="AG68" s="68">
        <f>0</f>
        <v>0</v>
      </c>
      <c r="AH68" s="68">
        <f>0</f>
        <v>0</v>
      </c>
      <c r="AI68" s="68">
        <f>0</f>
        <v>0</v>
      </c>
      <c r="AJ68" s="68">
        <f>0</f>
        <v>0</v>
      </c>
      <c r="AK68" s="330"/>
      <c r="AL68" s="330"/>
      <c r="AM68" s="330"/>
      <c r="AN68" s="330"/>
      <c r="AO68" s="330"/>
      <c r="AP68" s="330"/>
      <c r="AQ68" s="330"/>
      <c r="AR68" s="330"/>
      <c r="AS68" s="330"/>
      <c r="AT68" s="330"/>
      <c r="AU68" s="330"/>
      <c r="AV68" s="330"/>
      <c r="AW68" s="330"/>
    </row>
    <row r="70" spans="2:49" s="28" customFormat="1" x14ac:dyDescent="0.25">
      <c r="B70" s="29" t="s">
        <v>111</v>
      </c>
    </row>
    <row r="72" spans="2:49" outlineLevel="1" x14ac:dyDescent="0.25">
      <c r="B72" s="349" t="s">
        <v>9</v>
      </c>
      <c r="C72" s="349"/>
      <c r="F72" s="15"/>
      <c r="G72" s="15"/>
      <c r="H72" s="15"/>
    </row>
    <row r="73" spans="2:49" outlineLevel="1" x14ac:dyDescent="0.25">
      <c r="B73" s="48" t="s">
        <v>317</v>
      </c>
      <c r="C73" s="48">
        <v>6.45</v>
      </c>
      <c r="D73" s="15"/>
      <c r="F73" s="15"/>
      <c r="G73" s="15"/>
      <c r="H73" s="15"/>
    </row>
    <row r="74" spans="2:49" outlineLevel="1" x14ac:dyDescent="0.25">
      <c r="B74" s="48" t="s">
        <v>321</v>
      </c>
      <c r="C74" s="48">
        <v>7.53</v>
      </c>
      <c r="D74" s="15"/>
      <c r="F74" s="15"/>
      <c r="G74" s="15"/>
      <c r="H74" s="15"/>
    </row>
    <row r="75" spans="2:49" outlineLevel="1" x14ac:dyDescent="0.25">
      <c r="B75" s="48" t="s">
        <v>159</v>
      </c>
      <c r="C75" s="48">
        <f>1000</f>
        <v>1000</v>
      </c>
      <c r="D75" s="15"/>
      <c r="F75" s="15"/>
      <c r="G75" s="15"/>
      <c r="H75" s="15"/>
    </row>
    <row r="76" spans="2:49" outlineLevel="1" x14ac:dyDescent="0.25">
      <c r="B76" s="48" t="s">
        <v>162</v>
      </c>
      <c r="C76" s="32">
        <f>22453*2.2/10^6</f>
        <v>4.9396600000000006E-2</v>
      </c>
      <c r="D76" s="15"/>
      <c r="F76" s="15"/>
      <c r="G76" s="15"/>
      <c r="H76" s="15"/>
    </row>
    <row r="77" spans="2:49" outlineLevel="1" x14ac:dyDescent="0.25">
      <c r="B77" s="49" t="s">
        <v>115</v>
      </c>
      <c r="C77" s="48">
        <v>10</v>
      </c>
      <c r="D77" s="15"/>
      <c r="F77" s="15"/>
      <c r="G77" s="15"/>
      <c r="H77" s="15"/>
    </row>
    <row r="78" spans="2:49" outlineLevel="1" x14ac:dyDescent="0.25">
      <c r="B78" s="49" t="s">
        <v>294</v>
      </c>
      <c r="C78" s="48">
        <v>1797</v>
      </c>
      <c r="D78" s="15"/>
      <c r="F78" s="15"/>
      <c r="G78" s="15"/>
      <c r="H78" s="15"/>
    </row>
    <row r="79" spans="2:49" outlineLevel="1" x14ac:dyDescent="0.25">
      <c r="B79" s="18"/>
      <c r="C79" s="15"/>
      <c r="D79" s="15"/>
      <c r="F79" s="15"/>
      <c r="G79" s="15"/>
      <c r="H79" s="15"/>
    </row>
    <row r="80" spans="2:49" outlineLevel="1" x14ac:dyDescent="0.25">
      <c r="F80" s="22"/>
      <c r="G80" s="22"/>
      <c r="H80" s="15"/>
    </row>
    <row r="81" spans="2:24" outlineLevel="1" x14ac:dyDescent="0.25">
      <c r="B81" s="349" t="s">
        <v>112</v>
      </c>
      <c r="C81" s="349"/>
      <c r="D81" s="349"/>
      <c r="F81" s="149"/>
      <c r="G81" s="150"/>
      <c r="H81" s="15"/>
    </row>
    <row r="82" spans="2:24" outlineLevel="1" x14ac:dyDescent="0.25">
      <c r="B82" s="48" t="s">
        <v>110</v>
      </c>
      <c r="C82" s="58" t="s">
        <v>311</v>
      </c>
      <c r="D82" s="59" t="s">
        <v>48</v>
      </c>
      <c r="F82" s="150"/>
      <c r="G82" s="150"/>
      <c r="H82" s="22"/>
      <c r="L82" s="15"/>
      <c r="M82" s="22"/>
      <c r="N82" s="22"/>
      <c r="O82" s="22"/>
      <c r="P82" s="22"/>
      <c r="Q82" s="22"/>
      <c r="R82" s="22"/>
      <c r="S82" s="22"/>
      <c r="T82" s="22"/>
      <c r="U82" s="15"/>
      <c r="V82" s="15"/>
      <c r="W82" s="15"/>
      <c r="X82" s="15"/>
    </row>
    <row r="83" spans="2:24" outlineLevel="1" x14ac:dyDescent="0.25">
      <c r="B83" s="23" t="s">
        <v>41</v>
      </c>
      <c r="C83" s="52">
        <v>0.09</v>
      </c>
      <c r="D83" s="52">
        <v>0.09</v>
      </c>
      <c r="F83" s="15"/>
      <c r="G83" s="18"/>
      <c r="H83" s="18"/>
      <c r="I83" s="18"/>
      <c r="J83" s="283"/>
      <c r="Q83" s="143"/>
      <c r="R83" s="22"/>
      <c r="S83" s="22"/>
      <c r="T83" s="22"/>
      <c r="U83" s="15"/>
      <c r="V83" s="15"/>
      <c r="W83" s="15"/>
      <c r="X83" s="15"/>
    </row>
    <row r="84" spans="2:24" outlineLevel="1" x14ac:dyDescent="0.25">
      <c r="B84" s="23" t="s">
        <v>11</v>
      </c>
      <c r="C84" s="52">
        <v>0.6</v>
      </c>
      <c r="D84" s="52">
        <v>0.6</v>
      </c>
      <c r="E84" s="120"/>
      <c r="F84" s="15"/>
      <c r="G84" s="15"/>
      <c r="H84" s="15"/>
      <c r="R84" s="22"/>
      <c r="S84" s="22"/>
      <c r="T84" s="22"/>
      <c r="U84" s="15"/>
      <c r="V84" s="15"/>
      <c r="W84" s="15"/>
      <c r="X84" s="15"/>
    </row>
    <row r="85" spans="2:24" outlineLevel="1" x14ac:dyDescent="0.25">
      <c r="B85" s="23" t="s">
        <v>12</v>
      </c>
      <c r="C85" s="54">
        <v>3.6999999999999998E-2</v>
      </c>
      <c r="D85" s="54">
        <v>3.6999999999999998E-2</v>
      </c>
      <c r="E85" s="121"/>
      <c r="F85" s="15"/>
      <c r="G85" s="15"/>
      <c r="H85" s="15"/>
      <c r="R85" s="22"/>
      <c r="S85" s="22"/>
      <c r="T85" s="22"/>
      <c r="U85" s="15"/>
      <c r="V85" s="15"/>
      <c r="W85" s="15"/>
      <c r="X85" s="15"/>
    </row>
    <row r="86" spans="2:24" outlineLevel="1" x14ac:dyDescent="0.25">
      <c r="B86" s="23" t="s">
        <v>46</v>
      </c>
      <c r="C86" s="53">
        <v>15</v>
      </c>
      <c r="D86" s="53">
        <v>15</v>
      </c>
      <c r="E86" s="122"/>
      <c r="F86" s="125"/>
      <c r="G86" s="125"/>
      <c r="H86" s="125"/>
      <c r="I86" s="125"/>
      <c r="S86" s="22"/>
      <c r="T86" s="22"/>
      <c r="U86" s="15"/>
      <c r="V86" s="15"/>
      <c r="W86" s="15"/>
      <c r="X86" s="15"/>
    </row>
    <row r="87" spans="2:24" outlineLevel="1" x14ac:dyDescent="0.25">
      <c r="B87" s="23" t="s">
        <v>13</v>
      </c>
      <c r="C87" s="54">
        <v>0.25700000000000001</v>
      </c>
      <c r="D87" s="54">
        <v>0.25700000000000001</v>
      </c>
      <c r="E87" s="121"/>
      <c r="F87" s="128"/>
      <c r="G87" s="15"/>
      <c r="H87" s="22"/>
      <c r="I87" s="22"/>
      <c r="S87" s="22"/>
      <c r="T87" s="22"/>
      <c r="U87" s="15"/>
      <c r="V87" s="15"/>
      <c r="W87" s="15"/>
      <c r="X87" s="15"/>
    </row>
    <row r="88" spans="2:24" outlineLevel="1" x14ac:dyDescent="0.25">
      <c r="B88" s="24" t="s">
        <v>24</v>
      </c>
      <c r="C88" s="53">
        <v>10</v>
      </c>
      <c r="D88" s="53">
        <v>10</v>
      </c>
      <c r="E88" s="122"/>
      <c r="G88" s="15"/>
      <c r="H88" s="122"/>
      <c r="I88" s="127"/>
      <c r="S88" s="22"/>
      <c r="T88" s="22"/>
      <c r="U88" s="15"/>
      <c r="V88" s="15"/>
      <c r="W88" s="15"/>
      <c r="X88" s="15"/>
    </row>
    <row r="89" spans="2:24" outlineLevel="1" x14ac:dyDescent="0.25">
      <c r="B89" s="24" t="s">
        <v>47</v>
      </c>
      <c r="C89" s="48">
        <v>3</v>
      </c>
      <c r="D89" s="48">
        <v>1</v>
      </c>
      <c r="E89" s="15"/>
      <c r="F89" s="131"/>
      <c r="G89" s="15"/>
      <c r="H89" s="141"/>
      <c r="I89" s="141"/>
      <c r="S89" s="22"/>
      <c r="T89" s="22"/>
    </row>
    <row r="90" spans="2:24" outlineLevel="1" x14ac:dyDescent="0.25">
      <c r="B90" s="24" t="s">
        <v>44</v>
      </c>
      <c r="C90" s="41">
        <v>0</v>
      </c>
      <c r="D90" s="41">
        <v>0</v>
      </c>
      <c r="E90" s="42"/>
      <c r="F90" s="328"/>
      <c r="G90" s="127"/>
      <c r="H90" s="141"/>
      <c r="I90" s="141"/>
      <c r="S90" s="15"/>
      <c r="T90" s="15"/>
    </row>
    <row r="91" spans="2:24" outlineLevel="1" x14ac:dyDescent="0.25">
      <c r="B91" s="24" t="s">
        <v>43</v>
      </c>
      <c r="C91" s="41">
        <v>0</v>
      </c>
      <c r="D91" s="41">
        <v>0</v>
      </c>
      <c r="E91" s="42"/>
      <c r="F91" s="327"/>
      <c r="G91" s="141"/>
      <c r="H91" s="141"/>
      <c r="I91" s="141"/>
    </row>
    <row r="92" spans="2:24" outlineLevel="1" x14ac:dyDescent="0.25">
      <c r="B92" s="24" t="s">
        <v>42</v>
      </c>
      <c r="C92" s="41">
        <v>0</v>
      </c>
      <c r="D92" s="41">
        <v>0</v>
      </c>
      <c r="E92" s="42"/>
      <c r="F92" s="5"/>
      <c r="G92" s="141"/>
      <c r="H92" s="141"/>
      <c r="I92" s="141"/>
      <c r="S92" s="45"/>
    </row>
    <row r="93" spans="2:24" outlineLevel="1" x14ac:dyDescent="0.25">
      <c r="B93" s="24" t="s">
        <v>25</v>
      </c>
      <c r="C93" s="31">
        <v>0.8</v>
      </c>
      <c r="D93" s="31">
        <v>0</v>
      </c>
      <c r="E93" s="42"/>
      <c r="F93" s="5"/>
      <c r="G93" s="141"/>
      <c r="H93" s="141"/>
      <c r="I93" s="141"/>
      <c r="S93" s="15"/>
    </row>
    <row r="94" spans="2:24" outlineLevel="1" x14ac:dyDescent="0.25">
      <c r="B94" s="24" t="s">
        <v>26</v>
      </c>
      <c r="C94" s="31">
        <v>0.1</v>
      </c>
      <c r="D94" s="31">
        <v>0</v>
      </c>
      <c r="E94" s="42"/>
      <c r="F94" s="142"/>
      <c r="G94" s="26"/>
      <c r="H94" s="141"/>
      <c r="I94" s="141"/>
      <c r="J94" s="139"/>
      <c r="K94" s="144"/>
      <c r="S94" s="15"/>
    </row>
    <row r="95" spans="2:24" outlineLevel="1" x14ac:dyDescent="0.25">
      <c r="B95" s="24" t="s">
        <v>27</v>
      </c>
      <c r="C95" s="31">
        <v>0.1</v>
      </c>
      <c r="D95" s="31">
        <v>1</v>
      </c>
      <c r="E95" s="60"/>
      <c r="F95" s="57"/>
      <c r="G95" s="43"/>
      <c r="I95" s="127"/>
      <c r="J95" s="57"/>
      <c r="K95" s="144"/>
    </row>
    <row r="96" spans="2:24" outlineLevel="1" x14ac:dyDescent="0.25">
      <c r="B96" s="24" t="s">
        <v>14</v>
      </c>
      <c r="C96" s="54">
        <v>0</v>
      </c>
      <c r="D96" s="54">
        <v>0</v>
      </c>
      <c r="E96" s="121"/>
      <c r="F96" s="57"/>
      <c r="G96" s="115"/>
      <c r="I96" s="57"/>
      <c r="J96" s="57"/>
      <c r="L96" s="144"/>
    </row>
    <row r="97" spans="1:53" outlineLevel="1" x14ac:dyDescent="0.25">
      <c r="B97" s="23" t="s">
        <v>45</v>
      </c>
      <c r="C97" s="50">
        <v>1026</v>
      </c>
      <c r="D97" s="50">
        <f>IF(C24="EIA/NETL",C78,D32)</f>
        <v>1797</v>
      </c>
      <c r="E97" s="123"/>
      <c r="F97" s="18"/>
      <c r="I97" s="18"/>
      <c r="J97" s="5"/>
      <c r="L97" s="144"/>
    </row>
    <row r="98" spans="1:53" outlineLevel="1" x14ac:dyDescent="0.25">
      <c r="B98" s="23" t="s">
        <v>38</v>
      </c>
      <c r="C98" s="51">
        <v>3.0000000000000001E-3</v>
      </c>
      <c r="D98" s="51">
        <v>7.0000000000000001E-3</v>
      </c>
      <c r="E98" s="124"/>
      <c r="F98" s="18"/>
      <c r="G98" s="127"/>
      <c r="H98" s="15"/>
      <c r="I98" s="18"/>
      <c r="J98" s="5"/>
    </row>
    <row r="99" spans="1:53" outlineLevel="1" x14ac:dyDescent="0.25">
      <c r="B99" s="23" t="s">
        <v>39</v>
      </c>
      <c r="C99" s="50">
        <v>10</v>
      </c>
      <c r="D99" s="50">
        <v>33</v>
      </c>
      <c r="E99" s="123"/>
      <c r="F99" s="18"/>
      <c r="G99" s="15"/>
      <c r="H99" s="126"/>
      <c r="I99" s="18"/>
      <c r="J99" s="142"/>
      <c r="L99" s="144"/>
    </row>
    <row r="100" spans="1:53" outlineLevel="1" x14ac:dyDescent="0.25">
      <c r="B100" s="23" t="s">
        <v>40</v>
      </c>
      <c r="C100" s="55">
        <f>-PMT($C$85,$C$88,(C97*(1+C96)*$C$84))</f>
        <v>74.768667923445747</v>
      </c>
      <c r="D100" s="55">
        <f>-PMT(D85,D88,(D97*(1+D90)*D84))</f>
        <v>130.95447978404678</v>
      </c>
      <c r="E100" s="61"/>
    </row>
    <row r="101" spans="1:53" outlineLevel="1" x14ac:dyDescent="0.25">
      <c r="B101" s="49" t="s">
        <v>291</v>
      </c>
      <c r="C101" s="55">
        <v>20</v>
      </c>
      <c r="D101" s="55">
        <v>20</v>
      </c>
      <c r="E101" s="61"/>
      <c r="AU101">
        <f t="shared" ref="AU101" si="5">AU118*AU99</f>
        <v>0</v>
      </c>
    </row>
    <row r="102" spans="1:53" s="30" customFormat="1" x14ac:dyDescent="0.25">
      <c r="A102"/>
      <c r="B102" s="18"/>
      <c r="C102"/>
      <c r="D102"/>
      <c r="E102"/>
      <c r="F102"/>
      <c r="G102"/>
      <c r="H102"/>
      <c r="I102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1"/>
      <c r="AV102" s="111"/>
      <c r="AW102" s="111"/>
      <c r="AX102" s="111"/>
      <c r="AY102" s="111"/>
      <c r="AZ102" s="111"/>
      <c r="BA102" s="111"/>
    </row>
    <row r="103" spans="1:53" s="30" customFormat="1" x14ac:dyDescent="0.25">
      <c r="A103" s="28"/>
      <c r="B103" s="29" t="s">
        <v>77</v>
      </c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</row>
    <row r="104" spans="1:53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s="30" customFormat="1" outlineLevel="1" x14ac:dyDescent="0.25">
      <c r="A105"/>
      <c r="B105" s="163" t="s">
        <v>0</v>
      </c>
      <c r="C105" s="163">
        <v>2020</v>
      </c>
      <c r="D105" s="163">
        <v>2021</v>
      </c>
      <c r="E105" s="163">
        <v>2022</v>
      </c>
      <c r="F105" s="163">
        <v>2023</v>
      </c>
      <c r="G105" s="163">
        <v>2024</v>
      </c>
      <c r="H105" s="163">
        <v>2025</v>
      </c>
      <c r="I105" s="163">
        <v>2026</v>
      </c>
      <c r="J105" s="163">
        <v>2027</v>
      </c>
      <c r="K105" s="163">
        <v>2028</v>
      </c>
      <c r="L105" s="163">
        <v>2029</v>
      </c>
      <c r="M105" s="163">
        <v>2030</v>
      </c>
      <c r="N105" s="163">
        <v>2031</v>
      </c>
      <c r="O105" s="163">
        <v>2032</v>
      </c>
      <c r="P105" s="163">
        <v>2033</v>
      </c>
      <c r="Q105" s="163">
        <v>2034</v>
      </c>
      <c r="R105" s="163">
        <v>2035</v>
      </c>
      <c r="S105" s="163">
        <v>2036</v>
      </c>
      <c r="T105" s="163">
        <v>2037</v>
      </c>
      <c r="U105" s="163">
        <v>2038</v>
      </c>
      <c r="V105" s="163">
        <v>2039</v>
      </c>
      <c r="W105" s="163">
        <v>2040</v>
      </c>
      <c r="X105" s="163">
        <v>2041</v>
      </c>
      <c r="Y105" s="163">
        <v>2042</v>
      </c>
      <c r="Z105" s="163">
        <v>2043</v>
      </c>
      <c r="AA105" s="163">
        <v>2044</v>
      </c>
      <c r="AB105" s="163">
        <v>2045</v>
      </c>
      <c r="AC105" s="163">
        <v>2046</v>
      </c>
      <c r="AD105" s="163">
        <v>2047</v>
      </c>
      <c r="AE105" s="163">
        <v>2048</v>
      </c>
      <c r="AF105" s="163">
        <v>2049</v>
      </c>
      <c r="AG105" s="163">
        <v>2050</v>
      </c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s="30" customFormat="1" outlineLevel="1" x14ac:dyDescent="0.25">
      <c r="A106"/>
      <c r="B106" s="161" t="s">
        <v>263</v>
      </c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s="30" customFormat="1" outlineLevel="1" x14ac:dyDescent="0.25">
      <c r="A107"/>
      <c r="B107" s="67" t="s">
        <v>237</v>
      </c>
      <c r="C107" s="113">
        <v>5.7527379999999999</v>
      </c>
      <c r="D107" s="113">
        <v>5.7071199999999997</v>
      </c>
      <c r="E107" s="113">
        <v>5.6243720000000001</v>
      </c>
      <c r="F107" s="113">
        <v>5.5510809999999999</v>
      </c>
      <c r="G107" s="113">
        <v>5.5612940000000002</v>
      </c>
      <c r="H107" s="113">
        <v>5.6078700000000001</v>
      </c>
      <c r="I107" s="113">
        <v>5.6489510000000003</v>
      </c>
      <c r="J107" s="113">
        <v>5.6629389999999997</v>
      </c>
      <c r="K107" s="113">
        <v>5.5858090000000002</v>
      </c>
      <c r="L107" s="113">
        <v>5.5009259999999998</v>
      </c>
      <c r="M107" s="113">
        <v>5.4378970000000004</v>
      </c>
      <c r="N107" s="113">
        <v>5.351394</v>
      </c>
      <c r="O107" s="113">
        <v>5.2706929999999996</v>
      </c>
      <c r="P107" s="113">
        <v>5.2708029999999999</v>
      </c>
      <c r="Q107" s="113">
        <v>5.2463360000000003</v>
      </c>
      <c r="R107" s="113">
        <v>5.165203</v>
      </c>
      <c r="S107" s="113">
        <v>5.1219190000000001</v>
      </c>
      <c r="T107" s="113">
        <v>5.0796999999999999</v>
      </c>
      <c r="U107" s="113">
        <v>5.0881259999999999</v>
      </c>
      <c r="V107" s="113">
        <v>5.0508670000000002</v>
      </c>
      <c r="W107" s="113">
        <v>4.9858880000000001</v>
      </c>
      <c r="X107" s="113">
        <v>4.9548550000000002</v>
      </c>
      <c r="Y107" s="113">
        <v>4.9229529999999997</v>
      </c>
      <c r="Z107" s="113">
        <v>4.8888930000000004</v>
      </c>
      <c r="AA107" s="113">
        <v>4.8843360000000002</v>
      </c>
      <c r="AB107" s="113">
        <v>4.8630079999999998</v>
      </c>
      <c r="AC107" s="113">
        <v>4.8391479999999998</v>
      </c>
      <c r="AD107" s="113">
        <v>4.8546899999999997</v>
      </c>
      <c r="AE107" s="113">
        <v>4.84572</v>
      </c>
      <c r="AF107" s="113">
        <v>4.8302589999999999</v>
      </c>
      <c r="AG107" s="113">
        <v>4.8353400000000004</v>
      </c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s="30" customFormat="1" outlineLevel="1" x14ac:dyDescent="0.25">
      <c r="A108"/>
      <c r="B108" s="15" t="s">
        <v>224</v>
      </c>
      <c r="C108" s="56">
        <v>5.7527379999999999</v>
      </c>
      <c r="D108" s="56">
        <v>5.7071199999999997</v>
      </c>
      <c r="E108" s="56">
        <v>5.6243720000000001</v>
      </c>
      <c r="F108" s="56">
        <v>5.5510809999999999</v>
      </c>
      <c r="G108" s="56">
        <v>5.5612940000000002</v>
      </c>
      <c r="H108" s="56">
        <v>5.6078700000000001</v>
      </c>
      <c r="I108" s="56">
        <v>5.6489510000000003</v>
      </c>
      <c r="J108" s="56">
        <v>5.6629389999999997</v>
      </c>
      <c r="K108" s="56">
        <v>5.5858090000000002</v>
      </c>
      <c r="L108" s="56">
        <v>5.5009259999999998</v>
      </c>
      <c r="M108" s="56">
        <v>5.4378970000000004</v>
      </c>
      <c r="N108" s="56">
        <v>5.351394</v>
      </c>
      <c r="O108" s="56">
        <v>5.2706929999999996</v>
      </c>
      <c r="P108" s="56">
        <v>5.2708029999999999</v>
      </c>
      <c r="Q108" s="56">
        <v>5.2463360000000003</v>
      </c>
      <c r="R108" s="56">
        <v>5.165203</v>
      </c>
      <c r="S108" s="56">
        <v>5.1219190000000001</v>
      </c>
      <c r="T108" s="56">
        <v>5.0796999999999999</v>
      </c>
      <c r="U108" s="56">
        <v>5.0881259999999999</v>
      </c>
      <c r="V108" s="56">
        <v>5.0508670000000002</v>
      </c>
      <c r="W108" s="56">
        <v>4.9858880000000001</v>
      </c>
      <c r="X108" s="56">
        <v>4.9548550000000002</v>
      </c>
      <c r="Y108" s="56">
        <v>4.9229529999999997</v>
      </c>
      <c r="Z108" s="56">
        <v>4.8888930000000004</v>
      </c>
      <c r="AA108" s="56">
        <v>4.8843360000000002</v>
      </c>
      <c r="AB108" s="56">
        <v>4.8630079999999998</v>
      </c>
      <c r="AC108" s="56">
        <v>4.8391479999999998</v>
      </c>
      <c r="AD108" s="56">
        <v>4.8546899999999997</v>
      </c>
      <c r="AE108" s="56">
        <v>4.84572</v>
      </c>
      <c r="AF108" s="56">
        <v>4.8302589999999999</v>
      </c>
      <c r="AG108" s="56">
        <v>4.8353400000000004</v>
      </c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s="30" customFormat="1" outlineLevel="1" x14ac:dyDescent="0.25">
      <c r="A109"/>
      <c r="B109" s="18" t="s">
        <v>225</v>
      </c>
      <c r="C109" s="56">
        <v>5.776052</v>
      </c>
      <c r="D109" s="56">
        <v>6.32212</v>
      </c>
      <c r="E109" s="56">
        <v>6.5044930000000001</v>
      </c>
      <c r="F109" s="56">
        <v>6.4339370000000002</v>
      </c>
      <c r="G109" s="56">
        <v>6.4673780000000001</v>
      </c>
      <c r="H109" s="56">
        <v>6.563574</v>
      </c>
      <c r="I109" s="56">
        <v>6.6182119999999998</v>
      </c>
      <c r="J109" s="56">
        <v>6.546411</v>
      </c>
      <c r="K109" s="56">
        <v>6.4082670000000004</v>
      </c>
      <c r="L109" s="56">
        <v>6.2783389999999999</v>
      </c>
      <c r="M109" s="56">
        <v>6.1865379999999996</v>
      </c>
      <c r="N109" s="56">
        <v>6.1390469999999997</v>
      </c>
      <c r="O109" s="56">
        <v>6.0917539999999999</v>
      </c>
      <c r="P109" s="56">
        <v>6.0956060000000001</v>
      </c>
      <c r="Q109" s="56">
        <v>6.0613729999999997</v>
      </c>
      <c r="R109" s="56">
        <v>5.9931749999999999</v>
      </c>
      <c r="S109" s="56">
        <v>5.8821079999999997</v>
      </c>
      <c r="T109" s="56">
        <v>5.834244</v>
      </c>
      <c r="U109" s="56">
        <v>5.8189650000000004</v>
      </c>
      <c r="V109" s="56">
        <v>5.8248499999999996</v>
      </c>
      <c r="W109" s="56">
        <v>5.824192</v>
      </c>
      <c r="X109" s="56">
        <v>5.7929279999999999</v>
      </c>
      <c r="Y109" s="56">
        <v>5.7647899999999996</v>
      </c>
      <c r="Z109" s="56">
        <v>5.7693770000000004</v>
      </c>
      <c r="AA109" s="56">
        <v>5.7582180000000003</v>
      </c>
      <c r="AB109" s="56">
        <v>5.7445050000000002</v>
      </c>
      <c r="AC109" s="56">
        <v>5.7492330000000003</v>
      </c>
      <c r="AD109" s="56">
        <v>5.7809290000000004</v>
      </c>
      <c r="AE109" s="56">
        <v>5.8072090000000003</v>
      </c>
      <c r="AF109" s="56">
        <v>5.8238089999999998</v>
      </c>
      <c r="AG109" s="56">
        <v>5.8665649999999996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s="30" customFormat="1" outlineLevel="1" x14ac:dyDescent="0.25">
      <c r="A110"/>
      <c r="B110" s="18" t="s">
        <v>226</v>
      </c>
      <c r="C110" s="56">
        <v>5.773333</v>
      </c>
      <c r="D110" s="56">
        <v>6.7009439999999998</v>
      </c>
      <c r="E110" s="56">
        <v>7.0758489999999998</v>
      </c>
      <c r="F110" s="56">
        <v>6.9655069999999997</v>
      </c>
      <c r="G110" s="56">
        <v>6.935397</v>
      </c>
      <c r="H110" s="56">
        <v>6.9007560000000003</v>
      </c>
      <c r="I110" s="56">
        <v>6.8420990000000002</v>
      </c>
      <c r="J110" s="56">
        <v>6.7260119999999999</v>
      </c>
      <c r="K110" s="56">
        <v>6.5724879999999999</v>
      </c>
      <c r="L110" s="56">
        <v>6.4629260000000004</v>
      </c>
      <c r="M110" s="56">
        <v>6.386806</v>
      </c>
      <c r="N110" s="56">
        <v>6.3494640000000002</v>
      </c>
      <c r="O110" s="56">
        <v>6.273428</v>
      </c>
      <c r="P110" s="56">
        <v>6.2590859999999999</v>
      </c>
      <c r="Q110" s="56">
        <v>6.2275499999999999</v>
      </c>
      <c r="R110" s="56">
        <v>6.1951650000000003</v>
      </c>
      <c r="S110" s="56">
        <v>6.1374399999999998</v>
      </c>
      <c r="T110" s="56">
        <v>6.1626609999999999</v>
      </c>
      <c r="U110" s="56">
        <v>6.1709110000000003</v>
      </c>
      <c r="V110" s="56">
        <v>6.1990759999999998</v>
      </c>
      <c r="W110" s="56">
        <v>6.2148810000000001</v>
      </c>
      <c r="X110" s="56">
        <v>6.2401020000000003</v>
      </c>
      <c r="Y110" s="56">
        <v>6.2558249999999997</v>
      </c>
      <c r="Z110" s="56">
        <v>6.2501509999999998</v>
      </c>
      <c r="AA110" s="56">
        <v>6.2139530000000001</v>
      </c>
      <c r="AB110" s="56">
        <v>6.2091070000000004</v>
      </c>
      <c r="AC110" s="56">
        <v>6.2388950000000003</v>
      </c>
      <c r="AD110" s="56">
        <v>6.2640640000000003</v>
      </c>
      <c r="AE110" s="56">
        <v>6.2944659999999999</v>
      </c>
      <c r="AF110" s="56">
        <v>6.3372409999999997</v>
      </c>
      <c r="AG110" s="56">
        <v>6.3773520000000001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s="30" customFormat="1" outlineLevel="1" x14ac:dyDescent="0.25">
      <c r="A111"/>
      <c r="B111" s="18" t="s">
        <v>234</v>
      </c>
      <c r="C111" s="56">
        <f t="shared" ref="C111:AG111" si="6">$D$28</f>
        <v>5</v>
      </c>
      <c r="D111" s="56">
        <f t="shared" si="6"/>
        <v>5</v>
      </c>
      <c r="E111" s="56">
        <f t="shared" si="6"/>
        <v>5</v>
      </c>
      <c r="F111" s="56">
        <f t="shared" si="6"/>
        <v>5</v>
      </c>
      <c r="G111" s="56">
        <f t="shared" si="6"/>
        <v>5</v>
      </c>
      <c r="H111" s="56">
        <f t="shared" si="6"/>
        <v>5</v>
      </c>
      <c r="I111" s="56">
        <f t="shared" si="6"/>
        <v>5</v>
      </c>
      <c r="J111" s="56">
        <f t="shared" si="6"/>
        <v>5</v>
      </c>
      <c r="K111" s="56">
        <f t="shared" si="6"/>
        <v>5</v>
      </c>
      <c r="L111" s="56">
        <f t="shared" si="6"/>
        <v>5</v>
      </c>
      <c r="M111" s="56">
        <f t="shared" si="6"/>
        <v>5</v>
      </c>
      <c r="N111" s="56">
        <f t="shared" si="6"/>
        <v>5</v>
      </c>
      <c r="O111" s="56">
        <f t="shared" si="6"/>
        <v>5</v>
      </c>
      <c r="P111" s="56">
        <f t="shared" si="6"/>
        <v>5</v>
      </c>
      <c r="Q111" s="56">
        <f t="shared" si="6"/>
        <v>5</v>
      </c>
      <c r="R111" s="56">
        <f t="shared" si="6"/>
        <v>5</v>
      </c>
      <c r="S111" s="56">
        <f t="shared" si="6"/>
        <v>5</v>
      </c>
      <c r="T111" s="56">
        <f t="shared" si="6"/>
        <v>5</v>
      </c>
      <c r="U111" s="56">
        <f t="shared" si="6"/>
        <v>5</v>
      </c>
      <c r="V111" s="56">
        <f t="shared" si="6"/>
        <v>5</v>
      </c>
      <c r="W111" s="56">
        <f t="shared" si="6"/>
        <v>5</v>
      </c>
      <c r="X111" s="56">
        <f t="shared" si="6"/>
        <v>5</v>
      </c>
      <c r="Y111" s="56">
        <f t="shared" si="6"/>
        <v>5</v>
      </c>
      <c r="Z111" s="56">
        <f t="shared" si="6"/>
        <v>5</v>
      </c>
      <c r="AA111" s="56">
        <f t="shared" si="6"/>
        <v>5</v>
      </c>
      <c r="AB111" s="56">
        <f t="shared" si="6"/>
        <v>5</v>
      </c>
      <c r="AC111" s="56">
        <f t="shared" si="6"/>
        <v>5</v>
      </c>
      <c r="AD111" s="56">
        <f t="shared" si="6"/>
        <v>5</v>
      </c>
      <c r="AE111" s="56">
        <f t="shared" si="6"/>
        <v>5</v>
      </c>
      <c r="AF111" s="56">
        <f t="shared" si="6"/>
        <v>5</v>
      </c>
      <c r="AG111" s="56">
        <f t="shared" si="6"/>
        <v>5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s="30" customFormat="1" outlineLevel="1" x14ac:dyDescent="0.25">
      <c r="A112"/>
      <c r="B112" s="68" t="s">
        <v>201</v>
      </c>
      <c r="C112" s="119">
        <f t="shared" ref="C112:AG112" si="7">G28</f>
        <v>5</v>
      </c>
      <c r="D112" s="119">
        <f t="shared" si="7"/>
        <v>4.9000000000000004</v>
      </c>
      <c r="E112" s="119">
        <f t="shared" si="7"/>
        <v>4.8</v>
      </c>
      <c r="F112" s="119">
        <f t="shared" si="7"/>
        <v>4.7</v>
      </c>
      <c r="G112" s="119">
        <f t="shared" si="7"/>
        <v>4.5999999999999996</v>
      </c>
      <c r="H112" s="119">
        <f t="shared" si="7"/>
        <v>4.5</v>
      </c>
      <c r="I112" s="119">
        <f t="shared" si="7"/>
        <v>4.4000000000000004</v>
      </c>
      <c r="J112" s="119">
        <f t="shared" si="7"/>
        <v>4.3</v>
      </c>
      <c r="K112" s="119">
        <f t="shared" si="7"/>
        <v>4.2</v>
      </c>
      <c r="L112" s="119">
        <f t="shared" si="7"/>
        <v>4.0999999999999996</v>
      </c>
      <c r="M112" s="119">
        <f t="shared" si="7"/>
        <v>4</v>
      </c>
      <c r="N112" s="119">
        <f t="shared" si="7"/>
        <v>3.9</v>
      </c>
      <c r="O112" s="119">
        <f t="shared" si="7"/>
        <v>3.8</v>
      </c>
      <c r="P112" s="119">
        <f t="shared" si="7"/>
        <v>3.7</v>
      </c>
      <c r="Q112" s="119">
        <f t="shared" si="7"/>
        <v>3.6</v>
      </c>
      <c r="R112" s="119">
        <f t="shared" si="7"/>
        <v>3.5000000000000102</v>
      </c>
      <c r="S112" s="119">
        <f t="shared" si="7"/>
        <v>3.4000000000000101</v>
      </c>
      <c r="T112" s="119">
        <f t="shared" si="7"/>
        <v>3.30000000000001</v>
      </c>
      <c r="U112" s="119">
        <f t="shared" si="7"/>
        <v>3.2000000000000099</v>
      </c>
      <c r="V112" s="119">
        <f t="shared" si="7"/>
        <v>3.1000000000000099</v>
      </c>
      <c r="W112" s="119">
        <f t="shared" si="7"/>
        <v>3.0000000000000102</v>
      </c>
      <c r="X112" s="119">
        <f t="shared" si="7"/>
        <v>2.9000000000000101</v>
      </c>
      <c r="Y112" s="119">
        <f t="shared" si="7"/>
        <v>2.80000000000001</v>
      </c>
      <c r="Z112" s="119">
        <f t="shared" si="7"/>
        <v>2.7000000000000099</v>
      </c>
      <c r="AA112" s="119">
        <f t="shared" si="7"/>
        <v>2.6000000000000099</v>
      </c>
      <c r="AB112" s="119">
        <f t="shared" si="7"/>
        <v>2.5000000000000102</v>
      </c>
      <c r="AC112" s="119">
        <f t="shared" si="7"/>
        <v>2.4000000000000101</v>
      </c>
      <c r="AD112" s="119">
        <f t="shared" si="7"/>
        <v>2.30000000000001</v>
      </c>
      <c r="AE112" s="119">
        <f t="shared" si="7"/>
        <v>2.2000000000000099</v>
      </c>
      <c r="AF112" s="119">
        <f t="shared" si="7"/>
        <v>2.1000000000000099</v>
      </c>
      <c r="AG112" s="119">
        <f t="shared" si="7"/>
        <v>2.0000000000000102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s="30" customFormat="1" outlineLevel="1" x14ac:dyDescent="0.25">
      <c r="A113"/>
      <c r="B113" s="161" t="s">
        <v>31</v>
      </c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s="30" customFormat="1" outlineLevel="1" x14ac:dyDescent="0.25">
      <c r="A114"/>
      <c r="B114" s="67" t="s">
        <v>237</v>
      </c>
      <c r="C114" s="107">
        <v>0.56046062003934505</v>
      </c>
      <c r="D114" s="107">
        <v>0.54265314429143097</v>
      </c>
      <c r="E114" s="107">
        <v>0.51578929516314997</v>
      </c>
      <c r="F114" s="107">
        <v>0.48889152703344302</v>
      </c>
      <c r="G114" s="107">
        <v>0.45315785903262901</v>
      </c>
      <c r="H114" s="107">
        <v>0.43540126178685201</v>
      </c>
      <c r="I114" s="107">
        <v>0.41314191710196002</v>
      </c>
      <c r="J114" s="107">
        <v>0.40654891120005354</v>
      </c>
      <c r="K114" s="107">
        <v>0.39995590529814701</v>
      </c>
      <c r="L114" s="107">
        <v>0.37314293467200299</v>
      </c>
      <c r="M114" s="107">
        <v>0.373533003188386</v>
      </c>
      <c r="N114" s="107">
        <v>0.373711077945865</v>
      </c>
      <c r="O114" s="107">
        <v>0.373889152703344</v>
      </c>
      <c r="P114" s="107">
        <v>0.38314904009225897</v>
      </c>
      <c r="Q114" s="107">
        <v>0.36996302828844602</v>
      </c>
      <c r="R114" s="107">
        <v>0.36337850213689604</v>
      </c>
      <c r="S114" s="107">
        <v>0.35679397598534601</v>
      </c>
      <c r="T114" s="107">
        <v>0.34799199511566298</v>
      </c>
      <c r="U114" s="107">
        <v>0.34376059968794498</v>
      </c>
      <c r="V114" s="107">
        <v>0.34394715419577998</v>
      </c>
      <c r="W114" s="107">
        <v>0.33521301132894599</v>
      </c>
      <c r="X114" s="107">
        <v>0.33089681839766599</v>
      </c>
      <c r="Y114" s="107">
        <v>0.331100332406213</v>
      </c>
      <c r="Z114" s="107">
        <v>0.32229835153653003</v>
      </c>
      <c r="AA114" s="107">
        <v>0.31804999660809902</v>
      </c>
      <c r="AB114" s="107">
        <v>0.31827047011735898</v>
      </c>
      <c r="AC114" s="107">
        <v>0.31855878162946799</v>
      </c>
      <c r="AD114" s="107">
        <v>0.31881317414015298</v>
      </c>
      <c r="AE114" s="107">
        <v>0.31894885014585095</v>
      </c>
      <c r="AF114" s="107">
        <v>0.31908452615154898</v>
      </c>
      <c r="AG114" s="107">
        <v>0.31894885014585095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s="30" customFormat="1" outlineLevel="1" x14ac:dyDescent="0.25">
      <c r="A115"/>
      <c r="B115" s="15" t="s">
        <v>234</v>
      </c>
      <c r="C115" s="60">
        <f t="shared" ref="C115:AG115" si="8">$D$29</f>
        <v>0.57999999999999996</v>
      </c>
      <c r="D115" s="60">
        <f t="shared" si="8"/>
        <v>0.57999999999999996</v>
      </c>
      <c r="E115" s="60">
        <f t="shared" si="8"/>
        <v>0.57999999999999996</v>
      </c>
      <c r="F115" s="60">
        <f t="shared" si="8"/>
        <v>0.57999999999999996</v>
      </c>
      <c r="G115" s="60">
        <f t="shared" si="8"/>
        <v>0.57999999999999996</v>
      </c>
      <c r="H115" s="60">
        <f t="shared" si="8"/>
        <v>0.57999999999999996</v>
      </c>
      <c r="I115" s="60">
        <f t="shared" si="8"/>
        <v>0.57999999999999996</v>
      </c>
      <c r="J115" s="60">
        <f t="shared" si="8"/>
        <v>0.57999999999999996</v>
      </c>
      <c r="K115" s="60">
        <f t="shared" si="8"/>
        <v>0.57999999999999996</v>
      </c>
      <c r="L115" s="60">
        <f t="shared" si="8"/>
        <v>0.57999999999999996</v>
      </c>
      <c r="M115" s="60">
        <f t="shared" si="8"/>
        <v>0.57999999999999996</v>
      </c>
      <c r="N115" s="60">
        <f t="shared" si="8"/>
        <v>0.57999999999999996</v>
      </c>
      <c r="O115" s="60">
        <f t="shared" si="8"/>
        <v>0.57999999999999996</v>
      </c>
      <c r="P115" s="60">
        <f t="shared" si="8"/>
        <v>0.57999999999999996</v>
      </c>
      <c r="Q115" s="60">
        <f t="shared" si="8"/>
        <v>0.57999999999999996</v>
      </c>
      <c r="R115" s="60">
        <f t="shared" si="8"/>
        <v>0.57999999999999996</v>
      </c>
      <c r="S115" s="60">
        <f t="shared" si="8"/>
        <v>0.57999999999999996</v>
      </c>
      <c r="T115" s="60">
        <f t="shared" si="8"/>
        <v>0.57999999999999996</v>
      </c>
      <c r="U115" s="60">
        <f t="shared" si="8"/>
        <v>0.57999999999999996</v>
      </c>
      <c r="V115" s="60">
        <f t="shared" si="8"/>
        <v>0.57999999999999996</v>
      </c>
      <c r="W115" s="60">
        <f t="shared" si="8"/>
        <v>0.57999999999999996</v>
      </c>
      <c r="X115" s="60">
        <f t="shared" si="8"/>
        <v>0.57999999999999996</v>
      </c>
      <c r="Y115" s="60">
        <f t="shared" si="8"/>
        <v>0.57999999999999996</v>
      </c>
      <c r="Z115" s="60">
        <f t="shared" si="8"/>
        <v>0.57999999999999996</v>
      </c>
      <c r="AA115" s="60">
        <f t="shared" si="8"/>
        <v>0.57999999999999996</v>
      </c>
      <c r="AB115" s="60">
        <f t="shared" si="8"/>
        <v>0.57999999999999996</v>
      </c>
      <c r="AC115" s="60">
        <f t="shared" si="8"/>
        <v>0.57999999999999996</v>
      </c>
      <c r="AD115" s="60">
        <f t="shared" si="8"/>
        <v>0.57999999999999996</v>
      </c>
      <c r="AE115" s="60">
        <f t="shared" si="8"/>
        <v>0.57999999999999996</v>
      </c>
      <c r="AF115" s="60">
        <f t="shared" si="8"/>
        <v>0.57999999999999996</v>
      </c>
      <c r="AG115" s="60">
        <f t="shared" si="8"/>
        <v>0.57999999999999996</v>
      </c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s="30" customFormat="1" outlineLevel="1" x14ac:dyDescent="0.25">
      <c r="A116"/>
      <c r="B116" s="18" t="s">
        <v>201</v>
      </c>
      <c r="C116" s="60">
        <f t="shared" ref="C116:AG116" si="9">G29</f>
        <v>0.57999999999999996</v>
      </c>
      <c r="D116" s="60">
        <f t="shared" si="9"/>
        <v>0.57999999999999996</v>
      </c>
      <c r="E116" s="60">
        <f t="shared" si="9"/>
        <v>0.57999999999999996</v>
      </c>
      <c r="F116" s="60">
        <f t="shared" si="9"/>
        <v>0.57999999999999996</v>
      </c>
      <c r="G116" s="60">
        <f t="shared" si="9"/>
        <v>0.57999999999999996</v>
      </c>
      <c r="H116" s="60">
        <f t="shared" si="9"/>
        <v>0.57999999999999996</v>
      </c>
      <c r="I116" s="60">
        <f t="shared" si="9"/>
        <v>0.57999999999999996</v>
      </c>
      <c r="J116" s="60">
        <f t="shared" si="9"/>
        <v>0.57999999999999996</v>
      </c>
      <c r="K116" s="60">
        <f t="shared" si="9"/>
        <v>0.87</v>
      </c>
      <c r="L116" s="60">
        <f t="shared" si="9"/>
        <v>0.87</v>
      </c>
      <c r="M116" s="60">
        <f t="shared" si="9"/>
        <v>0.87</v>
      </c>
      <c r="N116" s="60">
        <f t="shared" si="9"/>
        <v>0.87</v>
      </c>
      <c r="O116" s="60">
        <f t="shared" si="9"/>
        <v>0.87</v>
      </c>
      <c r="P116" s="60">
        <f t="shared" si="9"/>
        <v>0.87</v>
      </c>
      <c r="Q116" s="60">
        <f t="shared" si="9"/>
        <v>0.87</v>
      </c>
      <c r="R116" s="60">
        <f t="shared" si="9"/>
        <v>0.87</v>
      </c>
      <c r="S116" s="60">
        <f t="shared" si="9"/>
        <v>0.87</v>
      </c>
      <c r="T116" s="60">
        <f t="shared" si="9"/>
        <v>0.87</v>
      </c>
      <c r="U116" s="60">
        <f t="shared" si="9"/>
        <v>0.87</v>
      </c>
      <c r="V116" s="60">
        <f t="shared" si="9"/>
        <v>0.87</v>
      </c>
      <c r="W116" s="60">
        <f t="shared" si="9"/>
        <v>0.87</v>
      </c>
      <c r="X116" s="60">
        <f t="shared" si="9"/>
        <v>0.87</v>
      </c>
      <c r="Y116" s="60">
        <f t="shared" si="9"/>
        <v>0.87</v>
      </c>
      <c r="Z116" s="60">
        <f t="shared" si="9"/>
        <v>0.87</v>
      </c>
      <c r="AA116" s="60">
        <f t="shared" si="9"/>
        <v>0.87</v>
      </c>
      <c r="AB116" s="60">
        <f t="shared" si="9"/>
        <v>0.87</v>
      </c>
      <c r="AC116" s="60">
        <f t="shared" si="9"/>
        <v>0.87</v>
      </c>
      <c r="AD116" s="60">
        <f t="shared" si="9"/>
        <v>0.87</v>
      </c>
      <c r="AE116" s="60">
        <f t="shared" si="9"/>
        <v>0.87</v>
      </c>
      <c r="AF116" s="60">
        <f t="shared" si="9"/>
        <v>0.87</v>
      </c>
      <c r="AG116" s="60">
        <f t="shared" si="9"/>
        <v>0.87</v>
      </c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s="30" customFormat="1" outlineLevel="1" x14ac:dyDescent="0.25">
      <c r="A117"/>
      <c r="B117" s="163" t="s">
        <v>271</v>
      </c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64"/>
      <c r="Y117" s="164"/>
      <c r="Z117" s="164"/>
      <c r="AA117" s="164"/>
      <c r="AB117" s="164"/>
      <c r="AC117" s="164"/>
      <c r="AD117" s="164"/>
      <c r="AE117" s="164"/>
      <c r="AF117" s="164"/>
      <c r="AG117" s="164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s="30" customFormat="1" outlineLevel="1" x14ac:dyDescent="0.25">
      <c r="A118"/>
      <c r="B118" s="67" t="s">
        <v>237</v>
      </c>
      <c r="C118" s="26">
        <v>2.7387079999999999</v>
      </c>
      <c r="D118" s="26">
        <v>2.9102589999999999</v>
      </c>
      <c r="E118" s="26">
        <v>2.9043109999999999</v>
      </c>
      <c r="F118" s="26">
        <v>2.9767429999999999</v>
      </c>
      <c r="G118" s="26">
        <v>3.1307019999999999</v>
      </c>
      <c r="H118" s="26">
        <v>3.4163389999999998</v>
      </c>
      <c r="I118" s="26">
        <v>3.6321370000000002</v>
      </c>
      <c r="J118" s="26">
        <v>3.7679109999999998</v>
      </c>
      <c r="K118" s="26">
        <v>3.8350200000000001</v>
      </c>
      <c r="L118" s="26">
        <v>3.8238889999999999</v>
      </c>
      <c r="M118" s="26">
        <v>3.7509389999999998</v>
      </c>
      <c r="N118" s="26">
        <v>3.7167029999999999</v>
      </c>
      <c r="O118" s="26">
        <v>3.7427380000000001</v>
      </c>
      <c r="P118" s="26">
        <v>3.8117640000000002</v>
      </c>
      <c r="Q118" s="26">
        <v>3.8672580000000001</v>
      </c>
      <c r="R118" s="26">
        <v>3.861809</v>
      </c>
      <c r="S118" s="26">
        <v>3.8587509999999998</v>
      </c>
      <c r="T118" s="26">
        <v>3.8986019999999999</v>
      </c>
      <c r="U118" s="26">
        <v>3.9204080000000001</v>
      </c>
      <c r="V118" s="26">
        <v>3.9264320000000001</v>
      </c>
      <c r="W118" s="26">
        <v>3.932766</v>
      </c>
      <c r="X118" s="26">
        <v>3.928709</v>
      </c>
      <c r="Y118" s="26">
        <v>3.9383219999999999</v>
      </c>
      <c r="Z118" s="26">
        <v>3.9483990000000002</v>
      </c>
      <c r="AA118" s="26">
        <v>3.9656349999999998</v>
      </c>
      <c r="AB118" s="26">
        <v>3.9790510000000001</v>
      </c>
      <c r="AC118" s="26">
        <v>4.0233879999999997</v>
      </c>
      <c r="AD118" s="26">
        <v>4.0797990000000004</v>
      </c>
      <c r="AE118" s="26">
        <v>4.1171620000000004</v>
      </c>
      <c r="AF118" s="26">
        <v>4.1408779999999998</v>
      </c>
      <c r="AG118" s="26">
        <v>4.1994100000000003</v>
      </c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s="30" customFormat="1" outlineLevel="1" x14ac:dyDescent="0.25">
      <c r="A119"/>
      <c r="B119" s="15" t="s">
        <v>224</v>
      </c>
      <c r="C119" s="56">
        <v>2.7508279999999998</v>
      </c>
      <c r="D119" s="56">
        <v>3.9793980000000002</v>
      </c>
      <c r="E119" s="56">
        <v>4.0306319999999998</v>
      </c>
      <c r="F119" s="56">
        <v>4.14886</v>
      </c>
      <c r="G119" s="56">
        <v>4.4251259999999997</v>
      </c>
      <c r="H119" s="56">
        <v>4.8728309999999997</v>
      </c>
      <c r="I119" s="56">
        <v>5.0467709999999997</v>
      </c>
      <c r="J119" s="56">
        <v>5.0866400000000001</v>
      </c>
      <c r="K119" s="56">
        <v>5.10487</v>
      </c>
      <c r="L119" s="56">
        <v>5.1078619999999999</v>
      </c>
      <c r="M119" s="56">
        <v>5.046157</v>
      </c>
      <c r="N119" s="56">
        <v>5.0916980000000001</v>
      </c>
      <c r="O119" s="56">
        <v>5.1866810000000001</v>
      </c>
      <c r="P119" s="56">
        <v>5.2896619999999999</v>
      </c>
      <c r="Q119" s="56">
        <v>5.3743530000000002</v>
      </c>
      <c r="R119" s="56">
        <v>5.4137050000000002</v>
      </c>
      <c r="S119" s="56">
        <v>5.4709370000000002</v>
      </c>
      <c r="T119" s="56">
        <v>5.5733519999999999</v>
      </c>
      <c r="U119" s="56">
        <v>5.6744960000000004</v>
      </c>
      <c r="V119" s="56">
        <v>5.762276</v>
      </c>
      <c r="W119" s="56">
        <v>5.8158519999999996</v>
      </c>
      <c r="X119" s="56">
        <v>5.8541670000000003</v>
      </c>
      <c r="Y119" s="56">
        <v>5.9126019999999997</v>
      </c>
      <c r="Z119" s="56">
        <v>6.0386139999999999</v>
      </c>
      <c r="AA119" s="56">
        <v>6.20702</v>
      </c>
      <c r="AB119" s="56">
        <v>6.3430970000000002</v>
      </c>
      <c r="AC119" s="56">
        <v>6.5076939999999999</v>
      </c>
      <c r="AD119" s="56">
        <v>6.6719309999999998</v>
      </c>
      <c r="AE119" s="56">
        <v>6.8600779999999997</v>
      </c>
      <c r="AF119" s="56">
        <v>7.0395770000000004</v>
      </c>
      <c r="AG119" s="56">
        <v>7.2463189999999997</v>
      </c>
      <c r="AH119" s="47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s="30" customFormat="1" outlineLevel="1" x14ac:dyDescent="0.25">
      <c r="A120"/>
      <c r="B120" s="18" t="s">
        <v>225</v>
      </c>
      <c r="C120" s="246">
        <v>2.7517260000000001</v>
      </c>
      <c r="D120" s="246">
        <v>4.6805479999999999</v>
      </c>
      <c r="E120" s="246">
        <v>4.72478</v>
      </c>
      <c r="F120" s="246">
        <v>4.8867649999999996</v>
      </c>
      <c r="G120" s="246">
        <v>5.0955659999999998</v>
      </c>
      <c r="H120" s="246">
        <v>5.4377519999999997</v>
      </c>
      <c r="I120" s="246">
        <v>5.5789949999999999</v>
      </c>
      <c r="J120" s="246">
        <v>5.6224970000000001</v>
      </c>
      <c r="K120" s="246">
        <v>5.6712429999999996</v>
      </c>
      <c r="L120" s="246">
        <v>5.6835789999999999</v>
      </c>
      <c r="M120" s="246">
        <v>5.7445079999999997</v>
      </c>
      <c r="N120" s="246">
        <v>5.8110590000000002</v>
      </c>
      <c r="O120" s="246">
        <v>5.9447700000000001</v>
      </c>
      <c r="P120" s="246">
        <v>6.061064</v>
      </c>
      <c r="Q120" s="246">
        <v>6.1949750000000003</v>
      </c>
      <c r="R120" s="246">
        <v>6.2828559999999998</v>
      </c>
      <c r="S120" s="246">
        <v>6.3683610000000002</v>
      </c>
      <c r="T120" s="246">
        <v>6.513998</v>
      </c>
      <c r="U120" s="246">
        <v>6.6730809999999998</v>
      </c>
      <c r="V120" s="246">
        <v>6.8394009999999996</v>
      </c>
      <c r="W120" s="246">
        <v>7.010122</v>
      </c>
      <c r="X120" s="246">
        <v>7.1692590000000003</v>
      </c>
      <c r="Y120" s="246">
        <v>7.3555820000000001</v>
      </c>
      <c r="Z120" s="246">
        <v>7.5444250000000004</v>
      </c>
      <c r="AA120" s="246">
        <v>7.7665899999999999</v>
      </c>
      <c r="AB120" s="246">
        <v>7.9785570000000003</v>
      </c>
      <c r="AC120" s="246">
        <v>8.2361740000000001</v>
      </c>
      <c r="AD120" s="246">
        <v>8.5036919999999991</v>
      </c>
      <c r="AE120" s="246">
        <v>8.7847480000000004</v>
      </c>
      <c r="AF120" s="246">
        <v>9.0799789999999998</v>
      </c>
      <c r="AG120" s="246">
        <v>9.417916</v>
      </c>
      <c r="AH120" s="115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s="30" customFormat="1" outlineLevel="1" x14ac:dyDescent="0.25">
      <c r="A121"/>
      <c r="B121" s="18" t="s">
        <v>226</v>
      </c>
      <c r="C121" s="246">
        <v>2.7546369999999998</v>
      </c>
      <c r="D121" s="246">
        <v>5.2282229999999998</v>
      </c>
      <c r="E121" s="246">
        <v>5.3827299999999996</v>
      </c>
      <c r="F121" s="246">
        <v>5.5361770000000003</v>
      </c>
      <c r="G121" s="246">
        <v>5.7387449999999998</v>
      </c>
      <c r="H121" s="246">
        <v>6.0626660000000001</v>
      </c>
      <c r="I121" s="246">
        <v>6.1956619999999996</v>
      </c>
      <c r="J121" s="246">
        <v>6.2417249999999997</v>
      </c>
      <c r="K121" s="246">
        <v>6.3397139999999998</v>
      </c>
      <c r="L121" s="246">
        <v>6.4058789999999997</v>
      </c>
      <c r="M121" s="246">
        <v>6.4507060000000003</v>
      </c>
      <c r="N121" s="246">
        <v>6.5273149999999998</v>
      </c>
      <c r="O121" s="246">
        <v>6.6985760000000001</v>
      </c>
      <c r="P121" s="246">
        <v>6.8669729999999998</v>
      </c>
      <c r="Q121" s="246">
        <v>7.0536310000000002</v>
      </c>
      <c r="R121" s="246">
        <v>7.2246629999999996</v>
      </c>
      <c r="S121" s="246">
        <v>7.424004</v>
      </c>
      <c r="T121" s="246">
        <v>7.6378919999999999</v>
      </c>
      <c r="U121" s="246">
        <v>7.8804049999999997</v>
      </c>
      <c r="V121" s="246">
        <v>8.0965729999999994</v>
      </c>
      <c r="W121" s="246">
        <v>8.3369590000000002</v>
      </c>
      <c r="X121" s="246">
        <v>8.5771870000000003</v>
      </c>
      <c r="Y121" s="246">
        <v>8.8404019999999992</v>
      </c>
      <c r="Z121" s="246">
        <v>9.1175329999999999</v>
      </c>
      <c r="AA121" s="246">
        <v>9.4059629999999999</v>
      </c>
      <c r="AB121" s="246">
        <v>9.7027900000000002</v>
      </c>
      <c r="AC121" s="246">
        <v>10.046704999999999</v>
      </c>
      <c r="AD121" s="246">
        <v>10.417787000000001</v>
      </c>
      <c r="AE121" s="246">
        <v>10.800883000000001</v>
      </c>
      <c r="AF121" s="246">
        <v>11.213196</v>
      </c>
      <c r="AG121" s="246">
        <v>11.66094</v>
      </c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s="30" customFormat="1" outlineLevel="1" x14ac:dyDescent="0.25">
      <c r="A122"/>
      <c r="B122" s="18" t="s">
        <v>234</v>
      </c>
      <c r="C122" s="247">
        <f t="shared" ref="C122:AG122" si="10">$D$30</f>
        <v>2</v>
      </c>
      <c r="D122" s="247">
        <f t="shared" si="10"/>
        <v>2</v>
      </c>
      <c r="E122" s="247">
        <f t="shared" si="10"/>
        <v>2</v>
      </c>
      <c r="F122" s="247">
        <f t="shared" si="10"/>
        <v>2</v>
      </c>
      <c r="G122" s="247">
        <f t="shared" si="10"/>
        <v>2</v>
      </c>
      <c r="H122" s="247">
        <f t="shared" si="10"/>
        <v>2</v>
      </c>
      <c r="I122" s="247">
        <f t="shared" si="10"/>
        <v>2</v>
      </c>
      <c r="J122" s="247">
        <f t="shared" si="10"/>
        <v>2</v>
      </c>
      <c r="K122" s="247">
        <f t="shared" si="10"/>
        <v>2</v>
      </c>
      <c r="L122" s="247">
        <f t="shared" si="10"/>
        <v>2</v>
      </c>
      <c r="M122" s="247">
        <f t="shared" si="10"/>
        <v>2</v>
      </c>
      <c r="N122" s="247">
        <f t="shared" si="10"/>
        <v>2</v>
      </c>
      <c r="O122" s="247">
        <f t="shared" si="10"/>
        <v>2</v>
      </c>
      <c r="P122" s="247">
        <f t="shared" si="10"/>
        <v>2</v>
      </c>
      <c r="Q122" s="247">
        <f t="shared" si="10"/>
        <v>2</v>
      </c>
      <c r="R122" s="247">
        <f t="shared" si="10"/>
        <v>2</v>
      </c>
      <c r="S122" s="247">
        <f t="shared" si="10"/>
        <v>2</v>
      </c>
      <c r="T122" s="247">
        <f t="shared" si="10"/>
        <v>2</v>
      </c>
      <c r="U122" s="247">
        <f t="shared" si="10"/>
        <v>2</v>
      </c>
      <c r="V122" s="247">
        <f t="shared" si="10"/>
        <v>2</v>
      </c>
      <c r="W122" s="247">
        <f t="shared" si="10"/>
        <v>2</v>
      </c>
      <c r="X122" s="247">
        <f t="shared" si="10"/>
        <v>2</v>
      </c>
      <c r="Y122" s="247">
        <f t="shared" si="10"/>
        <v>2</v>
      </c>
      <c r="Z122" s="247">
        <f t="shared" si="10"/>
        <v>2</v>
      </c>
      <c r="AA122" s="247">
        <f t="shared" si="10"/>
        <v>2</v>
      </c>
      <c r="AB122" s="247">
        <f t="shared" si="10"/>
        <v>2</v>
      </c>
      <c r="AC122" s="247">
        <f t="shared" si="10"/>
        <v>2</v>
      </c>
      <c r="AD122" s="247">
        <f t="shared" si="10"/>
        <v>2</v>
      </c>
      <c r="AE122" s="247">
        <f t="shared" si="10"/>
        <v>2</v>
      </c>
      <c r="AF122" s="247">
        <f t="shared" si="10"/>
        <v>2</v>
      </c>
      <c r="AG122" s="247">
        <f t="shared" si="10"/>
        <v>2</v>
      </c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s="30" customFormat="1" outlineLevel="1" x14ac:dyDescent="0.25">
      <c r="A123"/>
      <c r="B123" s="18" t="s">
        <v>201</v>
      </c>
      <c r="C123" s="247">
        <f t="shared" ref="C123:AG123" si="11">G30</f>
        <v>2.6</v>
      </c>
      <c r="D123" s="247">
        <f t="shared" si="11"/>
        <v>2.61</v>
      </c>
      <c r="E123" s="247">
        <f t="shared" si="11"/>
        <v>2.62</v>
      </c>
      <c r="F123" s="247">
        <f t="shared" si="11"/>
        <v>2.63</v>
      </c>
      <c r="G123" s="247">
        <f t="shared" si="11"/>
        <v>2.64</v>
      </c>
      <c r="H123" s="247">
        <f t="shared" si="11"/>
        <v>2.65</v>
      </c>
      <c r="I123" s="247">
        <f t="shared" si="11"/>
        <v>2.66</v>
      </c>
      <c r="J123" s="247">
        <f t="shared" si="11"/>
        <v>2.67</v>
      </c>
      <c r="K123" s="247">
        <f t="shared" si="11"/>
        <v>2.68</v>
      </c>
      <c r="L123" s="247">
        <f t="shared" si="11"/>
        <v>2.69</v>
      </c>
      <c r="M123" s="247">
        <f t="shared" si="11"/>
        <v>2.7</v>
      </c>
      <c r="N123" s="247">
        <f t="shared" si="11"/>
        <v>2.71</v>
      </c>
      <c r="O123" s="247">
        <f t="shared" si="11"/>
        <v>2.72</v>
      </c>
      <c r="P123" s="247">
        <f t="shared" si="11"/>
        <v>2.73</v>
      </c>
      <c r="Q123" s="247">
        <f t="shared" si="11"/>
        <v>2.74</v>
      </c>
      <c r="R123" s="247">
        <f t="shared" si="11"/>
        <v>2.75</v>
      </c>
      <c r="S123" s="247">
        <f t="shared" si="11"/>
        <v>2.76</v>
      </c>
      <c r="T123" s="247">
        <f t="shared" si="11"/>
        <v>2.77</v>
      </c>
      <c r="U123" s="247">
        <f t="shared" si="11"/>
        <v>2.78</v>
      </c>
      <c r="V123" s="247">
        <f t="shared" si="11"/>
        <v>2.79</v>
      </c>
      <c r="W123" s="247">
        <f t="shared" si="11"/>
        <v>2.8</v>
      </c>
      <c r="X123" s="247">
        <f t="shared" si="11"/>
        <v>2.81</v>
      </c>
      <c r="Y123" s="247">
        <f t="shared" si="11"/>
        <v>2.8199999999999901</v>
      </c>
      <c r="Z123" s="247">
        <f t="shared" si="11"/>
        <v>2.83</v>
      </c>
      <c r="AA123" s="247">
        <f t="shared" si="11"/>
        <v>2.8399999999999901</v>
      </c>
      <c r="AB123" s="247">
        <f t="shared" si="11"/>
        <v>2.85</v>
      </c>
      <c r="AC123" s="247">
        <f t="shared" si="11"/>
        <v>2.8599999999999901</v>
      </c>
      <c r="AD123" s="247">
        <f t="shared" si="11"/>
        <v>2.8699999999999899</v>
      </c>
      <c r="AE123" s="247">
        <f t="shared" si="11"/>
        <v>2.8799999999999901</v>
      </c>
      <c r="AF123" s="247">
        <f t="shared" si="11"/>
        <v>2.8899999999999899</v>
      </c>
      <c r="AG123" s="247">
        <f t="shared" si="11"/>
        <v>2.8999999999999901</v>
      </c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s="30" customFormat="1" outlineLevel="1" x14ac:dyDescent="0.25">
      <c r="A124"/>
      <c r="B124" s="163" t="s">
        <v>272</v>
      </c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s="30" customFormat="1" outlineLevel="1" x14ac:dyDescent="0.25">
      <c r="A125"/>
      <c r="B125" s="18" t="s">
        <v>234</v>
      </c>
      <c r="C125" s="136">
        <f t="shared" ref="C125:AG125" si="12">$D$31</f>
        <v>10</v>
      </c>
      <c r="D125" s="136">
        <f t="shared" si="12"/>
        <v>10</v>
      </c>
      <c r="E125" s="136">
        <f t="shared" si="12"/>
        <v>10</v>
      </c>
      <c r="F125" s="136">
        <f t="shared" si="12"/>
        <v>10</v>
      </c>
      <c r="G125" s="136">
        <f t="shared" si="12"/>
        <v>10</v>
      </c>
      <c r="H125" s="136">
        <f t="shared" si="12"/>
        <v>10</v>
      </c>
      <c r="I125" s="136">
        <f t="shared" si="12"/>
        <v>10</v>
      </c>
      <c r="J125" s="136">
        <f t="shared" si="12"/>
        <v>10</v>
      </c>
      <c r="K125" s="136">
        <f t="shared" si="12"/>
        <v>10</v>
      </c>
      <c r="L125" s="136">
        <f t="shared" si="12"/>
        <v>10</v>
      </c>
      <c r="M125" s="136">
        <f t="shared" si="12"/>
        <v>10</v>
      </c>
      <c r="N125" s="136">
        <f t="shared" si="12"/>
        <v>10</v>
      </c>
      <c r="O125" s="136">
        <f t="shared" si="12"/>
        <v>10</v>
      </c>
      <c r="P125" s="136">
        <f t="shared" si="12"/>
        <v>10</v>
      </c>
      <c r="Q125" s="136">
        <f t="shared" si="12"/>
        <v>10</v>
      </c>
      <c r="R125" s="136">
        <f t="shared" si="12"/>
        <v>10</v>
      </c>
      <c r="S125" s="136">
        <f t="shared" si="12"/>
        <v>10</v>
      </c>
      <c r="T125" s="136">
        <f t="shared" si="12"/>
        <v>10</v>
      </c>
      <c r="U125" s="136">
        <f t="shared" si="12"/>
        <v>10</v>
      </c>
      <c r="V125" s="136">
        <f t="shared" si="12"/>
        <v>10</v>
      </c>
      <c r="W125" s="136">
        <f t="shared" si="12"/>
        <v>10</v>
      </c>
      <c r="X125" s="136">
        <f t="shared" si="12"/>
        <v>10</v>
      </c>
      <c r="Y125" s="136">
        <f t="shared" si="12"/>
        <v>10</v>
      </c>
      <c r="Z125" s="136">
        <f t="shared" si="12"/>
        <v>10</v>
      </c>
      <c r="AA125" s="136">
        <f t="shared" si="12"/>
        <v>10</v>
      </c>
      <c r="AB125" s="136">
        <f t="shared" si="12"/>
        <v>10</v>
      </c>
      <c r="AC125" s="136">
        <f t="shared" si="12"/>
        <v>10</v>
      </c>
      <c r="AD125" s="136">
        <f t="shared" si="12"/>
        <v>10</v>
      </c>
      <c r="AE125" s="136">
        <f t="shared" si="12"/>
        <v>10</v>
      </c>
      <c r="AF125" s="136">
        <f t="shared" si="12"/>
        <v>10</v>
      </c>
      <c r="AG125" s="136">
        <f t="shared" si="12"/>
        <v>10</v>
      </c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s="30" customFormat="1" outlineLevel="1" x14ac:dyDescent="0.25">
      <c r="A126"/>
      <c r="B126" s="18" t="s">
        <v>201</v>
      </c>
      <c r="C126" s="136">
        <f t="shared" ref="C126:AG126" si="13">G31</f>
        <v>10</v>
      </c>
      <c r="D126" s="136">
        <f t="shared" si="13"/>
        <v>9.8000000000000007</v>
      </c>
      <c r="E126" s="136">
        <f t="shared" si="13"/>
        <v>9.6</v>
      </c>
      <c r="F126" s="136">
        <f t="shared" si="13"/>
        <v>9.4</v>
      </c>
      <c r="G126" s="136">
        <f t="shared" si="13"/>
        <v>9.1999999999999993</v>
      </c>
      <c r="H126" s="136">
        <f t="shared" si="13"/>
        <v>9</v>
      </c>
      <c r="I126" s="136">
        <f t="shared" si="13"/>
        <v>8.8000000000000007</v>
      </c>
      <c r="J126" s="136">
        <f t="shared" si="13"/>
        <v>8.6</v>
      </c>
      <c r="K126" s="136">
        <f t="shared" si="13"/>
        <v>8.4000000000000092</v>
      </c>
      <c r="L126" s="136">
        <f t="shared" si="13"/>
        <v>8.2000000000000099</v>
      </c>
      <c r="M126" s="136">
        <f t="shared" si="13"/>
        <v>8.0000000000000107</v>
      </c>
      <c r="N126" s="136">
        <f t="shared" si="13"/>
        <v>7.8000000000000096</v>
      </c>
      <c r="O126" s="136">
        <f t="shared" si="13"/>
        <v>7.6000000000000103</v>
      </c>
      <c r="P126" s="136">
        <f t="shared" si="13"/>
        <v>7.4000000000000101</v>
      </c>
      <c r="Q126" s="136">
        <f t="shared" si="13"/>
        <v>7.2000000000000099</v>
      </c>
      <c r="R126" s="136">
        <f t="shared" si="13"/>
        <v>7.0000000000000098</v>
      </c>
      <c r="S126" s="136">
        <f t="shared" si="13"/>
        <v>6.8000000000000096</v>
      </c>
      <c r="T126" s="136">
        <f t="shared" si="13"/>
        <v>6.6000000000000103</v>
      </c>
      <c r="U126" s="136">
        <f t="shared" si="13"/>
        <v>6.4000000000000101</v>
      </c>
      <c r="V126" s="136">
        <f t="shared" si="13"/>
        <v>6.2000000000000099</v>
      </c>
      <c r="W126" s="136">
        <f t="shared" si="13"/>
        <v>6.0000000000000098</v>
      </c>
      <c r="X126" s="136">
        <f t="shared" si="13"/>
        <v>5.8000000000000096</v>
      </c>
      <c r="Y126" s="136">
        <f t="shared" si="13"/>
        <v>5.6000000000000201</v>
      </c>
      <c r="Z126" s="136">
        <f t="shared" si="13"/>
        <v>5.4000000000000199</v>
      </c>
      <c r="AA126" s="136">
        <f t="shared" si="13"/>
        <v>5.2000000000000197</v>
      </c>
      <c r="AB126" s="136">
        <f t="shared" si="13"/>
        <v>5.0000000000000204</v>
      </c>
      <c r="AC126" s="136">
        <f t="shared" si="13"/>
        <v>4.8000000000000203</v>
      </c>
      <c r="AD126" s="136">
        <f t="shared" si="13"/>
        <v>4.6000000000000201</v>
      </c>
      <c r="AE126" s="136">
        <f t="shared" si="13"/>
        <v>4.4000000000000199</v>
      </c>
      <c r="AF126" s="136">
        <f t="shared" si="13"/>
        <v>4.2000000000000197</v>
      </c>
      <c r="AG126" s="136">
        <f t="shared" si="13"/>
        <v>4.0000000000000204</v>
      </c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s="30" customFormat="1" outlineLevel="1" x14ac:dyDescent="0.25">
      <c r="A127"/>
      <c r="B127" s="163" t="s">
        <v>273</v>
      </c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s="30" customFormat="1" outlineLevel="1" x14ac:dyDescent="0.25">
      <c r="A128"/>
      <c r="B128" s="67" t="s">
        <v>51</v>
      </c>
      <c r="C128" s="114">
        <f t="shared" ref="C128:AG128" si="14">IF($C$8="Normal",VLOOKUP($C$21,$B$114:$AG$116,C105-$C$105+2,0)*24*365,IF($C$9&gt;C105,VLOOKUP($C$21,$B$114:$AG$116,C105-$C$105+2,0)*24*365,0))</f>
        <v>5080.7999999999993</v>
      </c>
      <c r="D128" s="114">
        <f t="shared" si="14"/>
        <v>5080.7999999999993</v>
      </c>
      <c r="E128" s="114">
        <f t="shared" si="14"/>
        <v>5080.7999999999993</v>
      </c>
      <c r="F128" s="114">
        <f t="shared" si="14"/>
        <v>5080.7999999999993</v>
      </c>
      <c r="G128" s="114">
        <f t="shared" si="14"/>
        <v>5080.7999999999993</v>
      </c>
      <c r="H128" s="114">
        <f t="shared" si="14"/>
        <v>5080.7999999999993</v>
      </c>
      <c r="I128" s="114">
        <f t="shared" si="14"/>
        <v>5080.7999999999993</v>
      </c>
      <c r="J128" s="114">
        <f t="shared" si="14"/>
        <v>5080.7999999999993</v>
      </c>
      <c r="K128" s="114">
        <f t="shared" si="14"/>
        <v>5080.7999999999993</v>
      </c>
      <c r="L128" s="114">
        <f t="shared" si="14"/>
        <v>5080.7999999999993</v>
      </c>
      <c r="M128" s="114">
        <f t="shared" si="14"/>
        <v>5080.7999999999993</v>
      </c>
      <c r="N128" s="114">
        <f t="shared" si="14"/>
        <v>5080.7999999999993</v>
      </c>
      <c r="O128" s="114">
        <f t="shared" si="14"/>
        <v>5080.7999999999993</v>
      </c>
      <c r="P128" s="114">
        <f t="shared" si="14"/>
        <v>5080.7999999999993</v>
      </c>
      <c r="Q128" s="114">
        <f t="shared" si="14"/>
        <v>5080.7999999999993</v>
      </c>
      <c r="R128" s="114">
        <f t="shared" si="14"/>
        <v>5080.7999999999993</v>
      </c>
      <c r="S128" s="114">
        <f t="shared" si="14"/>
        <v>5080.7999999999993</v>
      </c>
      <c r="T128" s="114">
        <f t="shared" si="14"/>
        <v>5080.7999999999993</v>
      </c>
      <c r="U128" s="114">
        <f t="shared" si="14"/>
        <v>5080.7999999999993</v>
      </c>
      <c r="V128" s="114">
        <f t="shared" si="14"/>
        <v>5080.7999999999993</v>
      </c>
      <c r="W128" s="114">
        <f t="shared" si="14"/>
        <v>5080.7999999999993</v>
      </c>
      <c r="X128" s="114">
        <f t="shared" si="14"/>
        <v>5080.7999999999993</v>
      </c>
      <c r="Y128" s="114">
        <f t="shared" si="14"/>
        <v>5080.7999999999993</v>
      </c>
      <c r="Z128" s="114">
        <f t="shared" si="14"/>
        <v>5080.7999999999993</v>
      </c>
      <c r="AA128" s="114">
        <f t="shared" si="14"/>
        <v>5080.7999999999993</v>
      </c>
      <c r="AB128" s="114">
        <f t="shared" si="14"/>
        <v>5080.7999999999993</v>
      </c>
      <c r="AC128" s="114">
        <f t="shared" si="14"/>
        <v>5080.7999999999993</v>
      </c>
      <c r="AD128" s="114">
        <f t="shared" si="14"/>
        <v>5080.7999999999993</v>
      </c>
      <c r="AE128" s="114">
        <f t="shared" si="14"/>
        <v>5080.7999999999993</v>
      </c>
      <c r="AF128" s="114">
        <f t="shared" si="14"/>
        <v>5080.7999999999993</v>
      </c>
      <c r="AG128" s="114">
        <f t="shared" si="14"/>
        <v>5080.7999999999993</v>
      </c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s="30" customFormat="1" outlineLevel="1" x14ac:dyDescent="0.25">
      <c r="A129"/>
      <c r="B129" s="15" t="s">
        <v>69</v>
      </c>
      <c r="C129" s="45">
        <f t="shared" ref="C129:AG129" si="15">IF($C$8="Normal CCS",IF($C$9&lt;C105+1,VLOOKUP($C$21,$B$114:$AG$116,C105-$C$105+2,0)*24*365,0),0)</f>
        <v>0</v>
      </c>
      <c r="D129" s="45">
        <f t="shared" si="15"/>
        <v>0</v>
      </c>
      <c r="E129" s="45">
        <f t="shared" si="15"/>
        <v>0</v>
      </c>
      <c r="F129" s="45">
        <f t="shared" si="15"/>
        <v>0</v>
      </c>
      <c r="G129" s="45">
        <f t="shared" si="15"/>
        <v>0</v>
      </c>
      <c r="H129" s="45">
        <f t="shared" si="15"/>
        <v>0</v>
      </c>
      <c r="I129" s="45">
        <f t="shared" si="15"/>
        <v>0</v>
      </c>
      <c r="J129" s="45">
        <f t="shared" si="15"/>
        <v>0</v>
      </c>
      <c r="K129" s="45">
        <f t="shared" si="15"/>
        <v>0</v>
      </c>
      <c r="L129" s="45">
        <f t="shared" si="15"/>
        <v>0</v>
      </c>
      <c r="M129" s="45">
        <f t="shared" si="15"/>
        <v>0</v>
      </c>
      <c r="N129" s="45">
        <f t="shared" si="15"/>
        <v>0</v>
      </c>
      <c r="O129" s="45">
        <f t="shared" si="15"/>
        <v>0</v>
      </c>
      <c r="P129" s="45">
        <f t="shared" si="15"/>
        <v>0</v>
      </c>
      <c r="Q129" s="45">
        <f t="shared" si="15"/>
        <v>0</v>
      </c>
      <c r="R129" s="45">
        <f t="shared" si="15"/>
        <v>0</v>
      </c>
      <c r="S129" s="45">
        <f t="shared" si="15"/>
        <v>0</v>
      </c>
      <c r="T129" s="45">
        <f t="shared" si="15"/>
        <v>0</v>
      </c>
      <c r="U129" s="45">
        <f t="shared" si="15"/>
        <v>0</v>
      </c>
      <c r="V129" s="45">
        <f t="shared" si="15"/>
        <v>0</v>
      </c>
      <c r="W129" s="45">
        <f t="shared" si="15"/>
        <v>0</v>
      </c>
      <c r="X129" s="45">
        <f t="shared" si="15"/>
        <v>0</v>
      </c>
      <c r="Y129" s="45">
        <f t="shared" si="15"/>
        <v>0</v>
      </c>
      <c r="Z129" s="45">
        <f t="shared" si="15"/>
        <v>0</v>
      </c>
      <c r="AA129" s="45">
        <f t="shared" si="15"/>
        <v>0</v>
      </c>
      <c r="AB129" s="45">
        <f t="shared" si="15"/>
        <v>0</v>
      </c>
      <c r="AC129" s="45">
        <f t="shared" si="15"/>
        <v>0</v>
      </c>
      <c r="AD129" s="45">
        <f t="shared" si="15"/>
        <v>0</v>
      </c>
      <c r="AE129" s="45">
        <f t="shared" si="15"/>
        <v>0</v>
      </c>
      <c r="AF129" s="45">
        <f t="shared" si="15"/>
        <v>0</v>
      </c>
      <c r="AG129" s="45">
        <f t="shared" si="15"/>
        <v>0</v>
      </c>
      <c r="AH129" s="245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s="30" customFormat="1" outlineLevel="1" x14ac:dyDescent="0.25">
      <c r="A130"/>
      <c r="B130" s="15" t="s">
        <v>66</v>
      </c>
      <c r="C130" s="45">
        <v>0</v>
      </c>
      <c r="D130" s="45">
        <v>0</v>
      </c>
      <c r="E130" s="45">
        <v>0</v>
      </c>
      <c r="F130" s="45">
        <v>0</v>
      </c>
      <c r="G130" s="45">
        <v>0</v>
      </c>
      <c r="H130" s="45">
        <v>0</v>
      </c>
      <c r="I130" s="45">
        <v>0</v>
      </c>
      <c r="J130" s="45">
        <v>0</v>
      </c>
      <c r="K130" s="45">
        <v>0</v>
      </c>
      <c r="L130" s="45">
        <v>0</v>
      </c>
      <c r="M130" s="45">
        <v>0</v>
      </c>
      <c r="N130" s="45">
        <v>0</v>
      </c>
      <c r="O130" s="45">
        <v>0</v>
      </c>
      <c r="P130" s="45">
        <v>0</v>
      </c>
      <c r="Q130" s="45">
        <v>0</v>
      </c>
      <c r="R130" s="45">
        <v>0</v>
      </c>
      <c r="S130" s="45">
        <v>0</v>
      </c>
      <c r="T130" s="45">
        <v>0</v>
      </c>
      <c r="U130" s="45">
        <v>0</v>
      </c>
      <c r="V130" s="45">
        <v>0</v>
      </c>
      <c r="W130" s="45">
        <v>0</v>
      </c>
      <c r="X130" s="45">
        <v>0</v>
      </c>
      <c r="Y130" s="45">
        <v>0</v>
      </c>
      <c r="Z130" s="45">
        <v>0</v>
      </c>
      <c r="AA130" s="45">
        <v>0</v>
      </c>
      <c r="AB130" s="45">
        <v>0</v>
      </c>
      <c r="AC130" s="45">
        <v>0</v>
      </c>
      <c r="AD130" s="45">
        <v>0</v>
      </c>
      <c r="AE130" s="45">
        <v>0</v>
      </c>
      <c r="AF130" s="45">
        <v>0</v>
      </c>
      <c r="AG130" s="45">
        <v>0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s="30" customFormat="1" outlineLevel="1" x14ac:dyDescent="0.25">
      <c r="A131"/>
      <c r="B131" s="15" t="s">
        <v>49</v>
      </c>
      <c r="C131" s="45">
        <f t="shared" ref="C131:AG131" si="16">IF($C$8="Biogas",IF($C$9&lt;C105+1,VLOOKUP($C$21,$B$114:$AG$116,C105-$C$105+2,0)*24*365,0),0)</f>
        <v>0</v>
      </c>
      <c r="D131" s="45">
        <f t="shared" si="16"/>
        <v>0</v>
      </c>
      <c r="E131" s="45">
        <f t="shared" si="16"/>
        <v>0</v>
      </c>
      <c r="F131" s="45">
        <f t="shared" si="16"/>
        <v>0</v>
      </c>
      <c r="G131" s="45">
        <f t="shared" si="16"/>
        <v>0</v>
      </c>
      <c r="H131" s="45">
        <f t="shared" si="16"/>
        <v>0</v>
      </c>
      <c r="I131" s="45">
        <f t="shared" si="16"/>
        <v>0</v>
      </c>
      <c r="J131" s="45">
        <f t="shared" si="16"/>
        <v>0</v>
      </c>
      <c r="K131" s="45">
        <f t="shared" si="16"/>
        <v>0</v>
      </c>
      <c r="L131" s="45">
        <f t="shared" si="16"/>
        <v>0</v>
      </c>
      <c r="M131" s="45">
        <f t="shared" si="16"/>
        <v>0</v>
      </c>
      <c r="N131" s="45">
        <f t="shared" si="16"/>
        <v>0</v>
      </c>
      <c r="O131" s="45">
        <f t="shared" si="16"/>
        <v>0</v>
      </c>
      <c r="P131" s="45">
        <f t="shared" si="16"/>
        <v>0</v>
      </c>
      <c r="Q131" s="45">
        <f t="shared" si="16"/>
        <v>0</v>
      </c>
      <c r="R131" s="45">
        <f t="shared" si="16"/>
        <v>0</v>
      </c>
      <c r="S131" s="45">
        <f t="shared" si="16"/>
        <v>0</v>
      </c>
      <c r="T131" s="45">
        <f t="shared" si="16"/>
        <v>0</v>
      </c>
      <c r="U131" s="45">
        <f t="shared" si="16"/>
        <v>0</v>
      </c>
      <c r="V131" s="45">
        <f t="shared" si="16"/>
        <v>0</v>
      </c>
      <c r="W131" s="45">
        <f t="shared" si="16"/>
        <v>0</v>
      </c>
      <c r="X131" s="45">
        <f t="shared" si="16"/>
        <v>0</v>
      </c>
      <c r="Y131" s="45">
        <f t="shared" si="16"/>
        <v>0</v>
      </c>
      <c r="Z131" s="45">
        <f t="shared" si="16"/>
        <v>0</v>
      </c>
      <c r="AA131" s="45">
        <f t="shared" si="16"/>
        <v>0</v>
      </c>
      <c r="AB131" s="45">
        <f t="shared" si="16"/>
        <v>0</v>
      </c>
      <c r="AC131" s="45">
        <f t="shared" si="16"/>
        <v>0</v>
      </c>
      <c r="AD131" s="45">
        <f t="shared" si="16"/>
        <v>0</v>
      </c>
      <c r="AE131" s="45">
        <f t="shared" si="16"/>
        <v>0</v>
      </c>
      <c r="AF131" s="45">
        <f t="shared" si="16"/>
        <v>0</v>
      </c>
      <c r="AG131" s="45">
        <f t="shared" si="16"/>
        <v>0</v>
      </c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s="30" customFormat="1" outlineLevel="1" x14ac:dyDescent="0.25">
      <c r="A132"/>
      <c r="B132" s="68" t="s">
        <v>50</v>
      </c>
      <c r="C132" s="87">
        <f t="shared" ref="C132:AG132" si="17">IF($C$8="Biogas CCS",IF($C$9&lt;C105+1,VLOOKUP($C$21,$B$114:$AG$116,C105-$C$105+2,0)*24*365,0),0)</f>
        <v>0</v>
      </c>
      <c r="D132" s="87">
        <f t="shared" si="17"/>
        <v>0</v>
      </c>
      <c r="E132" s="87">
        <f t="shared" si="17"/>
        <v>0</v>
      </c>
      <c r="F132" s="87">
        <f t="shared" si="17"/>
        <v>0</v>
      </c>
      <c r="G132" s="87">
        <f t="shared" si="17"/>
        <v>0</v>
      </c>
      <c r="H132" s="87">
        <f t="shared" si="17"/>
        <v>0</v>
      </c>
      <c r="I132" s="87">
        <f t="shared" si="17"/>
        <v>0</v>
      </c>
      <c r="J132" s="87">
        <f t="shared" si="17"/>
        <v>0</v>
      </c>
      <c r="K132" s="87">
        <f t="shared" si="17"/>
        <v>0</v>
      </c>
      <c r="L132" s="87">
        <f t="shared" si="17"/>
        <v>0</v>
      </c>
      <c r="M132" s="87">
        <f t="shared" si="17"/>
        <v>0</v>
      </c>
      <c r="N132" s="87">
        <f t="shared" si="17"/>
        <v>0</v>
      </c>
      <c r="O132" s="87">
        <f t="shared" si="17"/>
        <v>0</v>
      </c>
      <c r="P132" s="87">
        <f t="shared" si="17"/>
        <v>0</v>
      </c>
      <c r="Q132" s="87">
        <f t="shared" si="17"/>
        <v>0</v>
      </c>
      <c r="R132" s="87">
        <f t="shared" si="17"/>
        <v>0</v>
      </c>
      <c r="S132" s="87">
        <f t="shared" si="17"/>
        <v>0</v>
      </c>
      <c r="T132" s="87">
        <f t="shared" si="17"/>
        <v>0</v>
      </c>
      <c r="U132" s="87">
        <f t="shared" si="17"/>
        <v>0</v>
      </c>
      <c r="V132" s="87">
        <f t="shared" si="17"/>
        <v>0</v>
      </c>
      <c r="W132" s="87">
        <f t="shared" si="17"/>
        <v>0</v>
      </c>
      <c r="X132" s="87">
        <f t="shared" si="17"/>
        <v>0</v>
      </c>
      <c r="Y132" s="87">
        <f t="shared" si="17"/>
        <v>0</v>
      </c>
      <c r="Z132" s="87">
        <f t="shared" si="17"/>
        <v>0</v>
      </c>
      <c r="AA132" s="87">
        <f t="shared" si="17"/>
        <v>0</v>
      </c>
      <c r="AB132" s="87">
        <f t="shared" si="17"/>
        <v>0</v>
      </c>
      <c r="AC132" s="87">
        <f t="shared" si="17"/>
        <v>0</v>
      </c>
      <c r="AD132" s="87">
        <f t="shared" si="17"/>
        <v>0</v>
      </c>
      <c r="AE132" s="87">
        <f t="shared" si="17"/>
        <v>0</v>
      </c>
      <c r="AF132" s="87">
        <f t="shared" si="17"/>
        <v>0</v>
      </c>
      <c r="AG132" s="87">
        <f t="shared" si="17"/>
        <v>0</v>
      </c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s="30" customFormat="1" outlineLevel="1" x14ac:dyDescent="0.25">
      <c r="A133"/>
      <c r="B133" s="161" t="s">
        <v>274</v>
      </c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s="30" customFormat="1" outlineLevel="1" x14ac:dyDescent="0.25">
      <c r="A134"/>
      <c r="B134" s="67" t="s">
        <v>51</v>
      </c>
      <c r="C134" s="114">
        <f t="shared" ref="C134:AG134" si="18">C128*VLOOKUP(electricity_price,$B$107:$AG$112,C$105-$C$105+2,0)/100</f>
        <v>292.28511230399994</v>
      </c>
      <c r="D134" s="114">
        <f t="shared" si="18"/>
        <v>289.96735295999997</v>
      </c>
      <c r="E134" s="114">
        <f t="shared" si="18"/>
        <v>285.76309257599996</v>
      </c>
      <c r="F134" s="114">
        <f t="shared" si="18"/>
        <v>282.03932344799995</v>
      </c>
      <c r="G134" s="114">
        <f t="shared" si="18"/>
        <v>282.55822555199995</v>
      </c>
      <c r="H134" s="114">
        <f t="shared" si="18"/>
        <v>284.92465895999999</v>
      </c>
      <c r="I134" s="114">
        <f t="shared" si="18"/>
        <v>287.01190240799997</v>
      </c>
      <c r="J134" s="114">
        <f t="shared" si="18"/>
        <v>287.72260471199996</v>
      </c>
      <c r="K134" s="114">
        <f t="shared" si="18"/>
        <v>283.80378367199995</v>
      </c>
      <c r="L134" s="114">
        <f t="shared" si="18"/>
        <v>279.49104820799994</v>
      </c>
      <c r="M134" s="114">
        <f t="shared" si="18"/>
        <v>276.288670776</v>
      </c>
      <c r="N134" s="114">
        <f t="shared" si="18"/>
        <v>271.89362635199996</v>
      </c>
      <c r="O134" s="114">
        <f t="shared" si="18"/>
        <v>267.79336994399995</v>
      </c>
      <c r="P134" s="114">
        <f t="shared" si="18"/>
        <v>267.79895882399995</v>
      </c>
      <c r="Q134" s="114">
        <f t="shared" si="18"/>
        <v>266.555839488</v>
      </c>
      <c r="R134" s="114">
        <f t="shared" si="18"/>
        <v>262.43363402399996</v>
      </c>
      <c r="S134" s="114">
        <f t="shared" si="18"/>
        <v>260.23446055199997</v>
      </c>
      <c r="T134" s="114">
        <f t="shared" si="18"/>
        <v>258.08939759999998</v>
      </c>
      <c r="U134" s="114">
        <f t="shared" si="18"/>
        <v>258.51750580799995</v>
      </c>
      <c r="V134" s="114">
        <f t="shared" si="18"/>
        <v>256.62445053599998</v>
      </c>
      <c r="W134" s="114">
        <f t="shared" si="18"/>
        <v>253.32299750399997</v>
      </c>
      <c r="X134" s="114">
        <f t="shared" si="18"/>
        <v>251.74627283999999</v>
      </c>
      <c r="Y134" s="114">
        <f t="shared" si="18"/>
        <v>250.12539602399997</v>
      </c>
      <c r="Z134" s="114">
        <f t="shared" si="18"/>
        <v>248.394875544</v>
      </c>
      <c r="AA134" s="114">
        <f t="shared" si="18"/>
        <v>248.16334348799998</v>
      </c>
      <c r="AB134" s="114">
        <f t="shared" si="18"/>
        <v>247.07971046399996</v>
      </c>
      <c r="AC134" s="114">
        <f t="shared" si="18"/>
        <v>245.86743158399997</v>
      </c>
      <c r="AD134" s="114">
        <f t="shared" si="18"/>
        <v>246.65708951999994</v>
      </c>
      <c r="AE134" s="114">
        <f t="shared" si="18"/>
        <v>246.20134175999996</v>
      </c>
      <c r="AF134" s="114">
        <f t="shared" si="18"/>
        <v>245.41579927199996</v>
      </c>
      <c r="AG134" s="114">
        <f t="shared" si="18"/>
        <v>245.67395472000001</v>
      </c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s="30" customFormat="1" outlineLevel="1" x14ac:dyDescent="0.25">
      <c r="A135"/>
      <c r="B135" s="15" t="s">
        <v>69</v>
      </c>
      <c r="C135" s="45">
        <f t="shared" ref="C135:AG135" si="19">C129*VLOOKUP(electricity_price,$B$107:$AG$112,C$105-$C$105+2,0)/100</f>
        <v>0</v>
      </c>
      <c r="D135" s="45">
        <f t="shared" si="19"/>
        <v>0</v>
      </c>
      <c r="E135" s="45">
        <f t="shared" si="19"/>
        <v>0</v>
      </c>
      <c r="F135" s="45">
        <f t="shared" si="19"/>
        <v>0</v>
      </c>
      <c r="G135" s="45">
        <f t="shared" si="19"/>
        <v>0</v>
      </c>
      <c r="H135" s="45">
        <f t="shared" si="19"/>
        <v>0</v>
      </c>
      <c r="I135" s="45">
        <f t="shared" si="19"/>
        <v>0</v>
      </c>
      <c r="J135" s="45">
        <f t="shared" si="19"/>
        <v>0</v>
      </c>
      <c r="K135" s="45">
        <f t="shared" si="19"/>
        <v>0</v>
      </c>
      <c r="L135" s="45">
        <f t="shared" si="19"/>
        <v>0</v>
      </c>
      <c r="M135" s="45">
        <f t="shared" si="19"/>
        <v>0</v>
      </c>
      <c r="N135" s="45">
        <f t="shared" si="19"/>
        <v>0</v>
      </c>
      <c r="O135" s="45">
        <f t="shared" si="19"/>
        <v>0</v>
      </c>
      <c r="P135" s="45">
        <f t="shared" si="19"/>
        <v>0</v>
      </c>
      <c r="Q135" s="45">
        <f t="shared" si="19"/>
        <v>0</v>
      </c>
      <c r="R135" s="45">
        <f t="shared" si="19"/>
        <v>0</v>
      </c>
      <c r="S135" s="45">
        <f t="shared" si="19"/>
        <v>0</v>
      </c>
      <c r="T135" s="45">
        <f t="shared" si="19"/>
        <v>0</v>
      </c>
      <c r="U135" s="45">
        <f t="shared" si="19"/>
        <v>0</v>
      </c>
      <c r="V135" s="45">
        <f t="shared" si="19"/>
        <v>0</v>
      </c>
      <c r="W135" s="45">
        <f t="shared" si="19"/>
        <v>0</v>
      </c>
      <c r="X135" s="45">
        <f t="shared" si="19"/>
        <v>0</v>
      </c>
      <c r="Y135" s="45">
        <f t="shared" si="19"/>
        <v>0</v>
      </c>
      <c r="Z135" s="45">
        <f t="shared" si="19"/>
        <v>0</v>
      </c>
      <c r="AA135" s="45">
        <f t="shared" si="19"/>
        <v>0</v>
      </c>
      <c r="AB135" s="45">
        <f t="shared" si="19"/>
        <v>0</v>
      </c>
      <c r="AC135" s="45">
        <f t="shared" si="19"/>
        <v>0</v>
      </c>
      <c r="AD135" s="45">
        <f t="shared" si="19"/>
        <v>0</v>
      </c>
      <c r="AE135" s="45">
        <f t="shared" si="19"/>
        <v>0</v>
      </c>
      <c r="AF135" s="45">
        <f t="shared" si="19"/>
        <v>0</v>
      </c>
      <c r="AG135" s="45">
        <f t="shared" si="19"/>
        <v>0</v>
      </c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s="30" customFormat="1" outlineLevel="1" x14ac:dyDescent="0.25">
      <c r="A136"/>
      <c r="B136" s="15" t="s">
        <v>66</v>
      </c>
      <c r="C136" s="15">
        <f t="shared" ref="C136:AG136" si="20">C130*VLOOKUP(electricity_price,$B$107:$AG$112,C$105-$C$105+2,0)/100</f>
        <v>0</v>
      </c>
      <c r="D136" s="15">
        <f t="shared" si="20"/>
        <v>0</v>
      </c>
      <c r="E136" s="15">
        <f t="shared" si="20"/>
        <v>0</v>
      </c>
      <c r="F136" s="15">
        <f t="shared" si="20"/>
        <v>0</v>
      </c>
      <c r="G136" s="15">
        <f t="shared" si="20"/>
        <v>0</v>
      </c>
      <c r="H136" s="15">
        <f t="shared" si="20"/>
        <v>0</v>
      </c>
      <c r="I136" s="15">
        <f t="shared" si="20"/>
        <v>0</v>
      </c>
      <c r="J136" s="15">
        <f t="shared" si="20"/>
        <v>0</v>
      </c>
      <c r="K136" s="15">
        <f t="shared" si="20"/>
        <v>0</v>
      </c>
      <c r="L136" s="15">
        <f t="shared" si="20"/>
        <v>0</v>
      </c>
      <c r="M136" s="15">
        <f t="shared" si="20"/>
        <v>0</v>
      </c>
      <c r="N136" s="15">
        <f t="shared" si="20"/>
        <v>0</v>
      </c>
      <c r="O136" s="15">
        <f t="shared" si="20"/>
        <v>0</v>
      </c>
      <c r="P136" s="15">
        <f t="shared" si="20"/>
        <v>0</v>
      </c>
      <c r="Q136" s="15">
        <f t="shared" si="20"/>
        <v>0</v>
      </c>
      <c r="R136" s="15">
        <f t="shared" si="20"/>
        <v>0</v>
      </c>
      <c r="S136" s="15">
        <f t="shared" si="20"/>
        <v>0</v>
      </c>
      <c r="T136" s="15">
        <f t="shared" si="20"/>
        <v>0</v>
      </c>
      <c r="U136" s="15">
        <f t="shared" si="20"/>
        <v>0</v>
      </c>
      <c r="V136" s="15">
        <f t="shared" si="20"/>
        <v>0</v>
      </c>
      <c r="W136" s="15">
        <f t="shared" si="20"/>
        <v>0</v>
      </c>
      <c r="X136" s="15">
        <f t="shared" si="20"/>
        <v>0</v>
      </c>
      <c r="Y136" s="15">
        <f t="shared" si="20"/>
        <v>0</v>
      </c>
      <c r="Z136" s="15">
        <f t="shared" si="20"/>
        <v>0</v>
      </c>
      <c r="AA136" s="15">
        <f t="shared" si="20"/>
        <v>0</v>
      </c>
      <c r="AB136" s="15">
        <f t="shared" si="20"/>
        <v>0</v>
      </c>
      <c r="AC136" s="15">
        <f t="shared" si="20"/>
        <v>0</v>
      </c>
      <c r="AD136" s="15">
        <f t="shared" si="20"/>
        <v>0</v>
      </c>
      <c r="AE136" s="15">
        <f t="shared" si="20"/>
        <v>0</v>
      </c>
      <c r="AF136" s="15">
        <f t="shared" si="20"/>
        <v>0</v>
      </c>
      <c r="AG136" s="15">
        <f t="shared" si="20"/>
        <v>0</v>
      </c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s="30" customFormat="1" outlineLevel="1" x14ac:dyDescent="0.25">
      <c r="A137"/>
      <c r="B137" s="15" t="s">
        <v>49</v>
      </c>
      <c r="C137" s="45">
        <f t="shared" ref="C137:AG137" si="21">C131*VLOOKUP(electricity_price,$B$107:$AG$112,C$105-$C$105+2,0)/100</f>
        <v>0</v>
      </c>
      <c r="D137" s="45">
        <f t="shared" si="21"/>
        <v>0</v>
      </c>
      <c r="E137" s="45">
        <f t="shared" si="21"/>
        <v>0</v>
      </c>
      <c r="F137" s="45">
        <f t="shared" si="21"/>
        <v>0</v>
      </c>
      <c r="G137" s="45">
        <f t="shared" si="21"/>
        <v>0</v>
      </c>
      <c r="H137" s="45">
        <f t="shared" si="21"/>
        <v>0</v>
      </c>
      <c r="I137" s="45">
        <f t="shared" si="21"/>
        <v>0</v>
      </c>
      <c r="J137" s="45">
        <f t="shared" si="21"/>
        <v>0</v>
      </c>
      <c r="K137" s="45">
        <f t="shared" si="21"/>
        <v>0</v>
      </c>
      <c r="L137" s="45">
        <f t="shared" si="21"/>
        <v>0</v>
      </c>
      <c r="M137" s="45">
        <f t="shared" si="21"/>
        <v>0</v>
      </c>
      <c r="N137" s="45">
        <f t="shared" si="21"/>
        <v>0</v>
      </c>
      <c r="O137" s="45">
        <f t="shared" si="21"/>
        <v>0</v>
      </c>
      <c r="P137" s="45">
        <f t="shared" si="21"/>
        <v>0</v>
      </c>
      <c r="Q137" s="45">
        <f t="shared" si="21"/>
        <v>0</v>
      </c>
      <c r="R137" s="45">
        <f t="shared" si="21"/>
        <v>0</v>
      </c>
      <c r="S137" s="45">
        <f t="shared" si="21"/>
        <v>0</v>
      </c>
      <c r="T137" s="45">
        <f t="shared" si="21"/>
        <v>0</v>
      </c>
      <c r="U137" s="45">
        <f t="shared" si="21"/>
        <v>0</v>
      </c>
      <c r="V137" s="45">
        <f t="shared" si="21"/>
        <v>0</v>
      </c>
      <c r="W137" s="45">
        <f t="shared" si="21"/>
        <v>0</v>
      </c>
      <c r="X137" s="45">
        <f t="shared" si="21"/>
        <v>0</v>
      </c>
      <c r="Y137" s="45">
        <f t="shared" si="21"/>
        <v>0</v>
      </c>
      <c r="Z137" s="45">
        <f t="shared" si="21"/>
        <v>0</v>
      </c>
      <c r="AA137" s="45">
        <f t="shared" si="21"/>
        <v>0</v>
      </c>
      <c r="AB137" s="45">
        <f t="shared" si="21"/>
        <v>0</v>
      </c>
      <c r="AC137" s="45">
        <f t="shared" si="21"/>
        <v>0</v>
      </c>
      <c r="AD137" s="45">
        <f t="shared" si="21"/>
        <v>0</v>
      </c>
      <c r="AE137" s="45">
        <f t="shared" si="21"/>
        <v>0</v>
      </c>
      <c r="AF137" s="45">
        <f t="shared" si="21"/>
        <v>0</v>
      </c>
      <c r="AG137" s="45">
        <f t="shared" si="21"/>
        <v>0</v>
      </c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s="30" customFormat="1" outlineLevel="1" x14ac:dyDescent="0.25">
      <c r="A138"/>
      <c r="B138" s="15" t="s">
        <v>50</v>
      </c>
      <c r="C138" s="45">
        <f t="shared" ref="C138:AG138" si="22">C132*VLOOKUP(electricity_price,$B$107:$AG$112,C$105-$C$105+2,0)/100</f>
        <v>0</v>
      </c>
      <c r="D138" s="45">
        <f t="shared" si="22"/>
        <v>0</v>
      </c>
      <c r="E138" s="45">
        <f t="shared" si="22"/>
        <v>0</v>
      </c>
      <c r="F138" s="45">
        <f t="shared" si="22"/>
        <v>0</v>
      </c>
      <c r="G138" s="45">
        <f t="shared" si="22"/>
        <v>0</v>
      </c>
      <c r="H138" s="45">
        <f t="shared" si="22"/>
        <v>0</v>
      </c>
      <c r="I138" s="45">
        <f t="shared" si="22"/>
        <v>0</v>
      </c>
      <c r="J138" s="45">
        <f t="shared" si="22"/>
        <v>0</v>
      </c>
      <c r="K138" s="45">
        <f t="shared" si="22"/>
        <v>0</v>
      </c>
      <c r="L138" s="45">
        <f t="shared" si="22"/>
        <v>0</v>
      </c>
      <c r="M138" s="45">
        <f t="shared" si="22"/>
        <v>0</v>
      </c>
      <c r="N138" s="45">
        <f t="shared" si="22"/>
        <v>0</v>
      </c>
      <c r="O138" s="45">
        <f t="shared" si="22"/>
        <v>0</v>
      </c>
      <c r="P138" s="45">
        <f t="shared" si="22"/>
        <v>0</v>
      </c>
      <c r="Q138" s="45">
        <f t="shared" si="22"/>
        <v>0</v>
      </c>
      <c r="R138" s="45">
        <f t="shared" si="22"/>
        <v>0</v>
      </c>
      <c r="S138" s="45">
        <f t="shared" si="22"/>
        <v>0</v>
      </c>
      <c r="T138" s="45">
        <f t="shared" si="22"/>
        <v>0</v>
      </c>
      <c r="U138" s="45">
        <f t="shared" si="22"/>
        <v>0</v>
      </c>
      <c r="V138" s="45">
        <f t="shared" si="22"/>
        <v>0</v>
      </c>
      <c r="W138" s="45">
        <f t="shared" si="22"/>
        <v>0</v>
      </c>
      <c r="X138" s="45">
        <f t="shared" si="22"/>
        <v>0</v>
      </c>
      <c r="Y138" s="45">
        <f t="shared" si="22"/>
        <v>0</v>
      </c>
      <c r="Z138" s="45">
        <f t="shared" si="22"/>
        <v>0</v>
      </c>
      <c r="AA138" s="45">
        <f t="shared" si="22"/>
        <v>0</v>
      </c>
      <c r="AB138" s="45">
        <f t="shared" si="22"/>
        <v>0</v>
      </c>
      <c r="AC138" s="45">
        <f t="shared" si="22"/>
        <v>0</v>
      </c>
      <c r="AD138" s="45">
        <f t="shared" si="22"/>
        <v>0</v>
      </c>
      <c r="AE138" s="45">
        <f t="shared" si="22"/>
        <v>0</v>
      </c>
      <c r="AF138" s="45">
        <f t="shared" si="22"/>
        <v>0</v>
      </c>
      <c r="AG138" s="45">
        <f t="shared" si="22"/>
        <v>0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s="30" customFormat="1" outlineLevel="1" x14ac:dyDescent="0.25">
      <c r="A139"/>
      <c r="B139" s="112" t="s">
        <v>276</v>
      </c>
      <c r="C139" s="87">
        <f t="shared" ref="C139:AG139" si="23">SUM(C134:C138)</f>
        <v>292.28511230399994</v>
      </c>
      <c r="D139" s="87">
        <f t="shared" si="23"/>
        <v>289.96735295999997</v>
      </c>
      <c r="E139" s="87">
        <f t="shared" si="23"/>
        <v>285.76309257599996</v>
      </c>
      <c r="F139" s="87">
        <f t="shared" si="23"/>
        <v>282.03932344799995</v>
      </c>
      <c r="G139" s="87">
        <f t="shared" si="23"/>
        <v>282.55822555199995</v>
      </c>
      <c r="H139" s="87">
        <f t="shared" si="23"/>
        <v>284.92465895999999</v>
      </c>
      <c r="I139" s="87">
        <f t="shared" si="23"/>
        <v>287.01190240799997</v>
      </c>
      <c r="J139" s="87">
        <f t="shared" si="23"/>
        <v>287.72260471199996</v>
      </c>
      <c r="K139" s="87">
        <f t="shared" si="23"/>
        <v>283.80378367199995</v>
      </c>
      <c r="L139" s="87">
        <f t="shared" si="23"/>
        <v>279.49104820799994</v>
      </c>
      <c r="M139" s="87">
        <f t="shared" si="23"/>
        <v>276.288670776</v>
      </c>
      <c r="N139" s="87">
        <f t="shared" si="23"/>
        <v>271.89362635199996</v>
      </c>
      <c r="O139" s="87">
        <f t="shared" si="23"/>
        <v>267.79336994399995</v>
      </c>
      <c r="P139" s="87">
        <f t="shared" si="23"/>
        <v>267.79895882399995</v>
      </c>
      <c r="Q139" s="87">
        <f t="shared" si="23"/>
        <v>266.555839488</v>
      </c>
      <c r="R139" s="87">
        <f t="shared" si="23"/>
        <v>262.43363402399996</v>
      </c>
      <c r="S139" s="87">
        <f t="shared" si="23"/>
        <v>260.23446055199997</v>
      </c>
      <c r="T139" s="87">
        <f t="shared" si="23"/>
        <v>258.08939759999998</v>
      </c>
      <c r="U139" s="87">
        <f t="shared" si="23"/>
        <v>258.51750580799995</v>
      </c>
      <c r="V139" s="87">
        <f t="shared" si="23"/>
        <v>256.62445053599998</v>
      </c>
      <c r="W139" s="87">
        <f t="shared" si="23"/>
        <v>253.32299750399997</v>
      </c>
      <c r="X139" s="87">
        <f t="shared" si="23"/>
        <v>251.74627283999999</v>
      </c>
      <c r="Y139" s="87">
        <f t="shared" si="23"/>
        <v>250.12539602399997</v>
      </c>
      <c r="Z139" s="87">
        <f t="shared" si="23"/>
        <v>248.394875544</v>
      </c>
      <c r="AA139" s="87">
        <f t="shared" si="23"/>
        <v>248.16334348799998</v>
      </c>
      <c r="AB139" s="87">
        <f t="shared" si="23"/>
        <v>247.07971046399996</v>
      </c>
      <c r="AC139" s="87">
        <f t="shared" si="23"/>
        <v>245.86743158399997</v>
      </c>
      <c r="AD139" s="87">
        <f t="shared" si="23"/>
        <v>246.65708951999994</v>
      </c>
      <c r="AE139" s="87">
        <f t="shared" si="23"/>
        <v>246.20134175999996</v>
      </c>
      <c r="AF139" s="87">
        <f t="shared" si="23"/>
        <v>245.41579927199996</v>
      </c>
      <c r="AG139" s="87">
        <f t="shared" si="23"/>
        <v>245.67395472000001</v>
      </c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s="30" customFormat="1" outlineLevel="1" x14ac:dyDescent="0.25">
      <c r="A140"/>
      <c r="B140" s="161" t="s">
        <v>275</v>
      </c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s="30" customFormat="1" outlineLevel="1" x14ac:dyDescent="0.25">
      <c r="A141"/>
      <c r="B141" s="67" t="s">
        <v>51</v>
      </c>
      <c r="C141" s="114">
        <f t="shared" ref="C141:AG141" si="24">IF(C128=0,0,C128*($C$98+VLOOKUP($C$22,$B$118:$AG$123,C105-$C$105+2,0)*heat_rate/1000)+$C$99)</f>
        <v>114.99303806127998</v>
      </c>
      <c r="D141" s="114">
        <f t="shared" si="24"/>
        <v>120.61496333043998</v>
      </c>
      <c r="E141" s="114">
        <f t="shared" si="24"/>
        <v>120.42004047075999</v>
      </c>
      <c r="F141" s="114">
        <f t="shared" si="24"/>
        <v>122.79372113187998</v>
      </c>
      <c r="G141" s="114">
        <f t="shared" si="24"/>
        <v>127.83913615431999</v>
      </c>
      <c r="H141" s="114">
        <f t="shared" si="24"/>
        <v>137.19979198323995</v>
      </c>
      <c r="I141" s="114">
        <f t="shared" si="24"/>
        <v>144.27174276891998</v>
      </c>
      <c r="J141" s="114">
        <f t="shared" si="24"/>
        <v>148.72121424675996</v>
      </c>
      <c r="K141" s="114">
        <f t="shared" si="24"/>
        <v>150.92045402319999</v>
      </c>
      <c r="L141" s="114">
        <f t="shared" si="24"/>
        <v>150.55567824123997</v>
      </c>
      <c r="M141" s="114">
        <f t="shared" si="24"/>
        <v>148.16502211923998</v>
      </c>
      <c r="N141" s="114">
        <f t="shared" si="24"/>
        <v>147.04306868547997</v>
      </c>
      <c r="O141" s="114">
        <f t="shared" si="24"/>
        <v>147.89626583607998</v>
      </c>
      <c r="P141" s="114">
        <f t="shared" si="24"/>
        <v>150.15832792623999</v>
      </c>
      <c r="Q141" s="114">
        <f t="shared" si="24"/>
        <v>151.97693067927997</v>
      </c>
      <c r="R141" s="114">
        <f t="shared" si="24"/>
        <v>151.79836062843998</v>
      </c>
      <c r="S141" s="114">
        <f t="shared" si="24"/>
        <v>151.69814642115998</v>
      </c>
      <c r="T141" s="114">
        <f t="shared" si="24"/>
        <v>153.00410991831998</v>
      </c>
      <c r="U141" s="114">
        <f t="shared" si="24"/>
        <v>153.71871783327998</v>
      </c>
      <c r="V141" s="114">
        <f t="shared" si="24"/>
        <v>153.91613130112</v>
      </c>
      <c r="W141" s="114">
        <f t="shared" si="24"/>
        <v>154.12370382856</v>
      </c>
      <c r="X141" s="114">
        <f t="shared" si="24"/>
        <v>153.99075123243998</v>
      </c>
      <c r="Y141" s="114">
        <f t="shared" si="24"/>
        <v>154.30578039351997</v>
      </c>
      <c r="Z141" s="114">
        <f t="shared" si="24"/>
        <v>154.63601537283998</v>
      </c>
      <c r="AA141" s="114">
        <f t="shared" si="24"/>
        <v>155.20085908659999</v>
      </c>
      <c r="AB141" s="114">
        <f t="shared" si="24"/>
        <v>155.64051696915999</v>
      </c>
      <c r="AC141" s="114">
        <f t="shared" si="24"/>
        <v>157.09349189007997</v>
      </c>
      <c r="AD141" s="114">
        <f t="shared" si="24"/>
        <v>158.94214579684001</v>
      </c>
      <c r="AE141" s="114">
        <f t="shared" si="24"/>
        <v>160.16657464791999</v>
      </c>
      <c r="AF141" s="114">
        <f t="shared" si="24"/>
        <v>160.94377547847998</v>
      </c>
      <c r="AG141" s="114">
        <f t="shared" si="24"/>
        <v>162.86193701559998</v>
      </c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s="30" customFormat="1" outlineLevel="1" x14ac:dyDescent="0.25">
      <c r="A142"/>
      <c r="B142" s="15" t="s">
        <v>69</v>
      </c>
      <c r="C142" s="45">
        <f t="shared" ref="C142:AG142" si="25">IF(C129=0,0,C129*($D$98+VLOOKUP($C$22,$B$118:$AG$123,C105-$C$105+2,0)*heat_rate_CCS/1000)+$D$99)</f>
        <v>0</v>
      </c>
      <c r="D142" s="45">
        <f t="shared" si="25"/>
        <v>0</v>
      </c>
      <c r="E142" s="45">
        <f t="shared" si="25"/>
        <v>0</v>
      </c>
      <c r="F142" s="45">
        <f t="shared" si="25"/>
        <v>0</v>
      </c>
      <c r="G142" s="45">
        <f t="shared" si="25"/>
        <v>0</v>
      </c>
      <c r="H142" s="45">
        <f t="shared" si="25"/>
        <v>0</v>
      </c>
      <c r="I142" s="45">
        <f t="shared" si="25"/>
        <v>0</v>
      </c>
      <c r="J142" s="45">
        <f t="shared" si="25"/>
        <v>0</v>
      </c>
      <c r="K142" s="45">
        <f t="shared" si="25"/>
        <v>0</v>
      </c>
      <c r="L142" s="45">
        <f t="shared" si="25"/>
        <v>0</v>
      </c>
      <c r="M142" s="45">
        <f t="shared" si="25"/>
        <v>0</v>
      </c>
      <c r="N142" s="45">
        <f t="shared" si="25"/>
        <v>0</v>
      </c>
      <c r="O142" s="45">
        <f t="shared" si="25"/>
        <v>0</v>
      </c>
      <c r="P142" s="45">
        <f t="shared" si="25"/>
        <v>0</v>
      </c>
      <c r="Q142" s="45">
        <f t="shared" si="25"/>
        <v>0</v>
      </c>
      <c r="R142" s="45">
        <f t="shared" si="25"/>
        <v>0</v>
      </c>
      <c r="S142" s="45">
        <f t="shared" si="25"/>
        <v>0</v>
      </c>
      <c r="T142" s="45">
        <f t="shared" si="25"/>
        <v>0</v>
      </c>
      <c r="U142" s="45">
        <f t="shared" si="25"/>
        <v>0</v>
      </c>
      <c r="V142" s="45">
        <f t="shared" si="25"/>
        <v>0</v>
      </c>
      <c r="W142" s="45">
        <f t="shared" si="25"/>
        <v>0</v>
      </c>
      <c r="X142" s="45">
        <f t="shared" si="25"/>
        <v>0</v>
      </c>
      <c r="Y142" s="45">
        <f t="shared" si="25"/>
        <v>0</v>
      </c>
      <c r="Z142" s="45">
        <f t="shared" si="25"/>
        <v>0</v>
      </c>
      <c r="AA142" s="45">
        <f t="shared" si="25"/>
        <v>0</v>
      </c>
      <c r="AB142" s="45">
        <f t="shared" si="25"/>
        <v>0</v>
      </c>
      <c r="AC142" s="45">
        <f t="shared" si="25"/>
        <v>0</v>
      </c>
      <c r="AD142" s="45">
        <f t="shared" si="25"/>
        <v>0</v>
      </c>
      <c r="AE142" s="45">
        <f t="shared" si="25"/>
        <v>0</v>
      </c>
      <c r="AF142" s="45">
        <f t="shared" si="25"/>
        <v>0</v>
      </c>
      <c r="AG142" s="45">
        <f t="shared" si="25"/>
        <v>0</v>
      </c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s="30" customFormat="1" outlineLevel="1" x14ac:dyDescent="0.25">
      <c r="A143"/>
      <c r="B143" s="15" t="s">
        <v>66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  <c r="O143" s="15">
        <v>0</v>
      </c>
      <c r="P143" s="15">
        <v>0</v>
      </c>
      <c r="Q143" s="15">
        <v>0</v>
      </c>
      <c r="R143" s="15">
        <v>0</v>
      </c>
      <c r="S143" s="15">
        <v>0</v>
      </c>
      <c r="T143" s="15">
        <v>0</v>
      </c>
      <c r="U143" s="15">
        <v>0</v>
      </c>
      <c r="V143" s="15">
        <v>0</v>
      </c>
      <c r="W143" s="15">
        <v>0</v>
      </c>
      <c r="X143" s="15">
        <v>0</v>
      </c>
      <c r="Y143" s="15">
        <v>0</v>
      </c>
      <c r="Z143" s="15">
        <v>0</v>
      </c>
      <c r="AA143" s="15">
        <v>0</v>
      </c>
      <c r="AB143" s="15">
        <v>0</v>
      </c>
      <c r="AC143" s="15">
        <v>0</v>
      </c>
      <c r="AD143" s="15">
        <v>0</v>
      </c>
      <c r="AE143" s="15">
        <v>0</v>
      </c>
      <c r="AF143" s="15">
        <v>0</v>
      </c>
      <c r="AG143" s="15">
        <v>0</v>
      </c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s="30" customFormat="1" outlineLevel="1" x14ac:dyDescent="0.25">
      <c r="A144"/>
      <c r="B144" s="15" t="s">
        <v>49</v>
      </c>
      <c r="C144" s="45">
        <f t="shared" ref="C144:AG144" si="26">IF(C131=0,0,C$131*($C$98+VLOOKUP($C$23,$B$125:$AG$126,C105-$C$105+2,0)*heat_rate/1000)+$C$99)</f>
        <v>0</v>
      </c>
      <c r="D144" s="45">
        <f t="shared" si="26"/>
        <v>0</v>
      </c>
      <c r="E144" s="45">
        <f t="shared" si="26"/>
        <v>0</v>
      </c>
      <c r="F144" s="45">
        <f t="shared" si="26"/>
        <v>0</v>
      </c>
      <c r="G144" s="45">
        <f t="shared" si="26"/>
        <v>0</v>
      </c>
      <c r="H144" s="45">
        <f t="shared" si="26"/>
        <v>0</v>
      </c>
      <c r="I144" s="45">
        <f t="shared" si="26"/>
        <v>0</v>
      </c>
      <c r="J144" s="45">
        <f t="shared" si="26"/>
        <v>0</v>
      </c>
      <c r="K144" s="45">
        <f t="shared" si="26"/>
        <v>0</v>
      </c>
      <c r="L144" s="45">
        <f t="shared" si="26"/>
        <v>0</v>
      </c>
      <c r="M144" s="45">
        <f t="shared" si="26"/>
        <v>0</v>
      </c>
      <c r="N144" s="45">
        <f t="shared" si="26"/>
        <v>0</v>
      </c>
      <c r="O144" s="45">
        <f t="shared" si="26"/>
        <v>0</v>
      </c>
      <c r="P144" s="45">
        <f t="shared" si="26"/>
        <v>0</v>
      </c>
      <c r="Q144" s="45">
        <f t="shared" si="26"/>
        <v>0</v>
      </c>
      <c r="R144" s="45">
        <f t="shared" si="26"/>
        <v>0</v>
      </c>
      <c r="S144" s="45">
        <f t="shared" si="26"/>
        <v>0</v>
      </c>
      <c r="T144" s="45">
        <f t="shared" si="26"/>
        <v>0</v>
      </c>
      <c r="U144" s="45">
        <f t="shared" si="26"/>
        <v>0</v>
      </c>
      <c r="V144" s="45">
        <f t="shared" si="26"/>
        <v>0</v>
      </c>
      <c r="W144" s="45">
        <f t="shared" si="26"/>
        <v>0</v>
      </c>
      <c r="X144" s="45">
        <f t="shared" si="26"/>
        <v>0</v>
      </c>
      <c r="Y144" s="45">
        <f t="shared" si="26"/>
        <v>0</v>
      </c>
      <c r="Z144" s="45">
        <f t="shared" si="26"/>
        <v>0</v>
      </c>
      <c r="AA144" s="45">
        <f t="shared" si="26"/>
        <v>0</v>
      </c>
      <c r="AB144" s="45">
        <f t="shared" si="26"/>
        <v>0</v>
      </c>
      <c r="AC144" s="45">
        <f t="shared" si="26"/>
        <v>0</v>
      </c>
      <c r="AD144" s="45">
        <f t="shared" si="26"/>
        <v>0</v>
      </c>
      <c r="AE144" s="45">
        <f t="shared" si="26"/>
        <v>0</v>
      </c>
      <c r="AF144" s="45">
        <f t="shared" si="26"/>
        <v>0</v>
      </c>
      <c r="AG144" s="45">
        <f t="shared" si="26"/>
        <v>0</v>
      </c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s="30" customFormat="1" outlineLevel="1" x14ac:dyDescent="0.25">
      <c r="A145"/>
      <c r="B145" s="15" t="s">
        <v>50</v>
      </c>
      <c r="C145" s="45">
        <f t="shared" ref="C145:AG145" si="27">IF(C132=0,0,C$132*($D$98+VLOOKUP($C$23,$B$125:$AG$126,C105-$C$105+2,0)*heat_rate_CCS/1000)+$D$99)</f>
        <v>0</v>
      </c>
      <c r="D145" s="45">
        <f t="shared" si="27"/>
        <v>0</v>
      </c>
      <c r="E145" s="45">
        <f t="shared" si="27"/>
        <v>0</v>
      </c>
      <c r="F145" s="45">
        <f t="shared" si="27"/>
        <v>0</v>
      </c>
      <c r="G145" s="45">
        <f t="shared" si="27"/>
        <v>0</v>
      </c>
      <c r="H145" s="45">
        <f t="shared" si="27"/>
        <v>0</v>
      </c>
      <c r="I145" s="45">
        <f t="shared" si="27"/>
        <v>0</v>
      </c>
      <c r="J145" s="45">
        <f t="shared" si="27"/>
        <v>0</v>
      </c>
      <c r="K145" s="45">
        <f t="shared" si="27"/>
        <v>0</v>
      </c>
      <c r="L145" s="45">
        <f t="shared" si="27"/>
        <v>0</v>
      </c>
      <c r="M145" s="45">
        <f t="shared" si="27"/>
        <v>0</v>
      </c>
      <c r="N145" s="45">
        <f t="shared" si="27"/>
        <v>0</v>
      </c>
      <c r="O145" s="45">
        <f t="shared" si="27"/>
        <v>0</v>
      </c>
      <c r="P145" s="45">
        <f t="shared" si="27"/>
        <v>0</v>
      </c>
      <c r="Q145" s="45">
        <f t="shared" si="27"/>
        <v>0</v>
      </c>
      <c r="R145" s="45">
        <f t="shared" si="27"/>
        <v>0</v>
      </c>
      <c r="S145" s="45">
        <f t="shared" si="27"/>
        <v>0</v>
      </c>
      <c r="T145" s="45">
        <f t="shared" si="27"/>
        <v>0</v>
      </c>
      <c r="U145" s="45">
        <f t="shared" si="27"/>
        <v>0</v>
      </c>
      <c r="V145" s="45">
        <f t="shared" si="27"/>
        <v>0</v>
      </c>
      <c r="W145" s="45">
        <f t="shared" si="27"/>
        <v>0</v>
      </c>
      <c r="X145" s="45">
        <f t="shared" si="27"/>
        <v>0</v>
      </c>
      <c r="Y145" s="45">
        <f t="shared" si="27"/>
        <v>0</v>
      </c>
      <c r="Z145" s="45">
        <f t="shared" si="27"/>
        <v>0</v>
      </c>
      <c r="AA145" s="45">
        <f t="shared" si="27"/>
        <v>0</v>
      </c>
      <c r="AB145" s="45">
        <f t="shared" si="27"/>
        <v>0</v>
      </c>
      <c r="AC145" s="45">
        <f t="shared" si="27"/>
        <v>0</v>
      </c>
      <c r="AD145" s="45">
        <f t="shared" si="27"/>
        <v>0</v>
      </c>
      <c r="AE145" s="45">
        <f t="shared" si="27"/>
        <v>0</v>
      </c>
      <c r="AF145" s="45">
        <f t="shared" si="27"/>
        <v>0</v>
      </c>
      <c r="AG145" s="45">
        <f t="shared" si="27"/>
        <v>0</v>
      </c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s="30" customFormat="1" outlineLevel="1" x14ac:dyDescent="0.25">
      <c r="A146"/>
      <c r="B146" s="112" t="s">
        <v>277</v>
      </c>
      <c r="C146" s="87">
        <f t="shared" ref="C146:AG146" si="28">SUM(C141:C145)</f>
        <v>114.99303806127998</v>
      </c>
      <c r="D146" s="87">
        <f t="shared" si="28"/>
        <v>120.61496333043998</v>
      </c>
      <c r="E146" s="87">
        <f t="shared" si="28"/>
        <v>120.42004047075999</v>
      </c>
      <c r="F146" s="87">
        <f t="shared" si="28"/>
        <v>122.79372113187998</v>
      </c>
      <c r="G146" s="87">
        <f t="shared" si="28"/>
        <v>127.83913615431999</v>
      </c>
      <c r="H146" s="87">
        <f t="shared" si="28"/>
        <v>137.19979198323995</v>
      </c>
      <c r="I146" s="87">
        <f t="shared" si="28"/>
        <v>144.27174276891998</v>
      </c>
      <c r="J146" s="87">
        <f t="shared" si="28"/>
        <v>148.72121424675996</v>
      </c>
      <c r="K146" s="87">
        <f t="shared" si="28"/>
        <v>150.92045402319999</v>
      </c>
      <c r="L146" s="87">
        <f t="shared" si="28"/>
        <v>150.55567824123997</v>
      </c>
      <c r="M146" s="87">
        <f t="shared" si="28"/>
        <v>148.16502211923998</v>
      </c>
      <c r="N146" s="87">
        <f t="shared" si="28"/>
        <v>147.04306868547997</v>
      </c>
      <c r="O146" s="87">
        <f t="shared" si="28"/>
        <v>147.89626583607998</v>
      </c>
      <c r="P146" s="87">
        <f t="shared" si="28"/>
        <v>150.15832792623999</v>
      </c>
      <c r="Q146" s="87">
        <f t="shared" si="28"/>
        <v>151.97693067927997</v>
      </c>
      <c r="R146" s="87">
        <f t="shared" si="28"/>
        <v>151.79836062843998</v>
      </c>
      <c r="S146" s="87">
        <f t="shared" si="28"/>
        <v>151.69814642115998</v>
      </c>
      <c r="T146" s="87">
        <f t="shared" si="28"/>
        <v>153.00410991831998</v>
      </c>
      <c r="U146" s="87">
        <f t="shared" si="28"/>
        <v>153.71871783327998</v>
      </c>
      <c r="V146" s="87">
        <f t="shared" si="28"/>
        <v>153.91613130112</v>
      </c>
      <c r="W146" s="87">
        <f t="shared" si="28"/>
        <v>154.12370382856</v>
      </c>
      <c r="X146" s="87">
        <f t="shared" si="28"/>
        <v>153.99075123243998</v>
      </c>
      <c r="Y146" s="87">
        <f t="shared" si="28"/>
        <v>154.30578039351997</v>
      </c>
      <c r="Z146" s="87">
        <f t="shared" si="28"/>
        <v>154.63601537283998</v>
      </c>
      <c r="AA146" s="87">
        <f t="shared" si="28"/>
        <v>155.20085908659999</v>
      </c>
      <c r="AB146" s="87">
        <f t="shared" si="28"/>
        <v>155.64051696915999</v>
      </c>
      <c r="AC146" s="87">
        <f t="shared" si="28"/>
        <v>157.09349189007997</v>
      </c>
      <c r="AD146" s="87">
        <f t="shared" si="28"/>
        <v>158.94214579684001</v>
      </c>
      <c r="AE146" s="87">
        <f t="shared" si="28"/>
        <v>160.16657464791999</v>
      </c>
      <c r="AF146" s="87">
        <f t="shared" si="28"/>
        <v>160.94377547847998</v>
      </c>
      <c r="AG146" s="87">
        <f t="shared" si="28"/>
        <v>162.86193701559998</v>
      </c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s="30" customFormat="1" x14ac:dyDescent="0.25">
      <c r="A148" s="28"/>
      <c r="B148" s="29" t="s">
        <v>80</v>
      </c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</row>
    <row r="149" spans="1:53" s="30" customFormat="1" x14ac:dyDescent="0.25">
      <c r="A149"/>
      <c r="B149"/>
      <c r="C149"/>
      <c r="D149"/>
      <c r="E149"/>
      <c r="F149" s="324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s="30" customFormat="1" outlineLevel="1" x14ac:dyDescent="0.25">
      <c r="A150"/>
      <c r="B150" s="163" t="s">
        <v>0</v>
      </c>
      <c r="C150" s="163">
        <v>2017</v>
      </c>
      <c r="D150" s="163">
        <v>2018</v>
      </c>
      <c r="E150" s="163">
        <v>2019</v>
      </c>
      <c r="F150" s="164">
        <v>2020</v>
      </c>
      <c r="G150" s="164">
        <v>2021</v>
      </c>
      <c r="H150" s="164">
        <v>2022</v>
      </c>
      <c r="I150" s="164">
        <v>2023</v>
      </c>
      <c r="J150" s="164">
        <v>2024</v>
      </c>
      <c r="K150" s="164">
        <v>2025</v>
      </c>
      <c r="L150" s="164">
        <v>2026</v>
      </c>
      <c r="M150" s="164">
        <v>2027</v>
      </c>
      <c r="N150" s="164">
        <v>2028</v>
      </c>
      <c r="O150" s="164">
        <v>2029</v>
      </c>
      <c r="P150" s="164">
        <v>2030</v>
      </c>
      <c r="Q150" s="164">
        <v>2031</v>
      </c>
      <c r="R150" s="164">
        <v>2032</v>
      </c>
      <c r="S150" s="164">
        <v>2033</v>
      </c>
      <c r="T150" s="164">
        <v>2034</v>
      </c>
      <c r="U150" s="164">
        <v>2035</v>
      </c>
      <c r="V150" s="164">
        <v>2036</v>
      </c>
      <c r="W150" s="164">
        <v>2037</v>
      </c>
      <c r="X150" s="164">
        <v>2038</v>
      </c>
      <c r="Y150" s="164">
        <v>2039</v>
      </c>
      <c r="Z150" s="164">
        <v>2040</v>
      </c>
      <c r="AA150" s="164">
        <v>2041</v>
      </c>
      <c r="AB150" s="164">
        <v>2042</v>
      </c>
      <c r="AC150" s="164">
        <v>2043</v>
      </c>
      <c r="AD150" s="164">
        <v>2044</v>
      </c>
      <c r="AE150" s="164">
        <v>2045</v>
      </c>
      <c r="AF150" s="164">
        <v>2046</v>
      </c>
      <c r="AG150" s="164">
        <v>2047</v>
      </c>
      <c r="AH150" s="164">
        <v>2048</v>
      </c>
      <c r="AI150" s="164">
        <v>2049</v>
      </c>
      <c r="AJ150" s="164">
        <v>2050</v>
      </c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s="30" customFormat="1" outlineLevel="1" x14ac:dyDescent="0.25">
      <c r="A151"/>
      <c r="B151" s="163" t="s">
        <v>195</v>
      </c>
      <c r="C151" s="215"/>
      <c r="D151" s="215"/>
      <c r="E151" s="215"/>
      <c r="F151" s="325"/>
      <c r="G151" s="329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4"/>
      <c r="AF151" s="164"/>
      <c r="AG151" s="164"/>
      <c r="AH151" s="164"/>
      <c r="AI151" s="164"/>
      <c r="AJ151" s="164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s="30" customFormat="1" outlineLevel="1" x14ac:dyDescent="0.25">
      <c r="A152"/>
      <c r="B152" s="15" t="s">
        <v>190</v>
      </c>
      <c r="C152" s="117">
        <f>IF(embedded_emissions_cost="no",0,'Life Cycle Assessment Data'!C73+'Life Cycle Assessment Data'!C74)</f>
        <v>9.1834000000000013E-4</v>
      </c>
      <c r="D152" s="117">
        <f>IF(embedded_emissions_cost="no",0,'Life Cycle Assessment Data'!D73+'Life Cycle Assessment Data'!D74)</f>
        <v>9.1834000000000013E-4</v>
      </c>
      <c r="E152" s="117">
        <f>IF(embedded_emissions_cost="no",0,'Life Cycle Assessment Data'!E73+'Life Cycle Assessment Data'!E74)</f>
        <v>9.7418500000000013E-4</v>
      </c>
      <c r="F152" s="117">
        <f>IF(embedded_emissions_cost="no",0,'Life Cycle Assessment Data'!F73+'Life Cycle Assessment Data'!F74)</f>
        <v>0</v>
      </c>
      <c r="G152" s="117">
        <f>IF(embedded_emissions_cost="no",0,'Life Cycle Assessment Data'!G73+'Life Cycle Assessment Data'!G74)</f>
        <v>0</v>
      </c>
      <c r="H152" s="117">
        <f>IF(embedded_emissions_cost="no",0,'Life Cycle Assessment Data'!H73+'Life Cycle Assessment Data'!H74)</f>
        <v>0</v>
      </c>
      <c r="I152" s="117">
        <f>IF(embedded_emissions_cost="no",0,'Life Cycle Assessment Data'!I73+'Life Cycle Assessment Data'!I74)</f>
        <v>0</v>
      </c>
      <c r="J152" s="117">
        <f>IF(embedded_emissions_cost="no",0,'Life Cycle Assessment Data'!J73+'Life Cycle Assessment Data'!J74)</f>
        <v>0</v>
      </c>
      <c r="K152" s="117">
        <f>IF(embedded_emissions_cost="no",0,'Life Cycle Assessment Data'!K73+'Life Cycle Assessment Data'!K74)</f>
        <v>0</v>
      </c>
      <c r="L152" s="117">
        <f>IF(embedded_emissions_cost="no",0,'Life Cycle Assessment Data'!L73+'Life Cycle Assessment Data'!L74)</f>
        <v>0</v>
      </c>
      <c r="M152" s="117">
        <f>IF(embedded_emissions_cost="no",0,'Life Cycle Assessment Data'!M73+'Life Cycle Assessment Data'!M74)</f>
        <v>0</v>
      </c>
      <c r="N152" s="117">
        <f>IF(embedded_emissions_cost="no",0,'Life Cycle Assessment Data'!N73+'Life Cycle Assessment Data'!N74)</f>
        <v>0</v>
      </c>
      <c r="O152" s="117">
        <f>IF(embedded_emissions_cost="no",0,'Life Cycle Assessment Data'!O73+'Life Cycle Assessment Data'!O74)</f>
        <v>0</v>
      </c>
      <c r="P152" s="117">
        <f>IF(embedded_emissions_cost="no",0,'Life Cycle Assessment Data'!P73+'Life Cycle Assessment Data'!P74)</f>
        <v>0</v>
      </c>
      <c r="Q152" s="117">
        <f>IF(embedded_emissions_cost="no",0,'Life Cycle Assessment Data'!Q73+'Life Cycle Assessment Data'!Q74)</f>
        <v>0</v>
      </c>
      <c r="R152" s="117">
        <f>IF(embedded_emissions_cost="no",0,'Life Cycle Assessment Data'!R73+'Life Cycle Assessment Data'!R74)</f>
        <v>0</v>
      </c>
      <c r="S152" s="117">
        <f>IF(embedded_emissions_cost="no",0,'Life Cycle Assessment Data'!S73+'Life Cycle Assessment Data'!S74)</f>
        <v>0</v>
      </c>
      <c r="T152" s="117">
        <f>IF(embedded_emissions_cost="no",0,'Life Cycle Assessment Data'!T73+'Life Cycle Assessment Data'!T74)</f>
        <v>0</v>
      </c>
      <c r="U152" s="117">
        <f>IF(embedded_emissions_cost="no",0,'Life Cycle Assessment Data'!U73+'Life Cycle Assessment Data'!U74)</f>
        <v>0</v>
      </c>
      <c r="V152" s="117">
        <f>IF(embedded_emissions_cost="no",0,'Life Cycle Assessment Data'!V73+'Life Cycle Assessment Data'!V74)</f>
        <v>0</v>
      </c>
      <c r="W152" s="117">
        <f>IF(embedded_emissions_cost="no",0,'Life Cycle Assessment Data'!W73+'Life Cycle Assessment Data'!W74)</f>
        <v>0</v>
      </c>
      <c r="X152" s="117">
        <f>IF(embedded_emissions_cost="no",0,'Life Cycle Assessment Data'!X73+'Life Cycle Assessment Data'!X74)</f>
        <v>0</v>
      </c>
      <c r="Y152" s="117">
        <f>IF(embedded_emissions_cost="no",0,'Life Cycle Assessment Data'!Y73+'Life Cycle Assessment Data'!Y74)</f>
        <v>0</v>
      </c>
      <c r="Z152" s="117">
        <f>IF(embedded_emissions_cost="no",0,'Life Cycle Assessment Data'!Z73+'Life Cycle Assessment Data'!Z74)</f>
        <v>0</v>
      </c>
      <c r="AA152" s="117">
        <f>IF(embedded_emissions_cost="no",0,'Life Cycle Assessment Data'!AA73+'Life Cycle Assessment Data'!AA74)</f>
        <v>0</v>
      </c>
      <c r="AB152" s="117">
        <f>IF(embedded_emissions_cost="no",0,'Life Cycle Assessment Data'!AB73+'Life Cycle Assessment Data'!AB74)</f>
        <v>0</v>
      </c>
      <c r="AC152" s="117">
        <f>IF(embedded_emissions_cost="no",0,'Life Cycle Assessment Data'!AC73+'Life Cycle Assessment Data'!AC74)</f>
        <v>0</v>
      </c>
      <c r="AD152" s="117">
        <f>IF(embedded_emissions_cost="no",0,'Life Cycle Assessment Data'!AD73+'Life Cycle Assessment Data'!AD74)</f>
        <v>0</v>
      </c>
      <c r="AE152" s="117">
        <f>IF(embedded_emissions_cost="no",0,'Life Cycle Assessment Data'!AE73+'Life Cycle Assessment Data'!AE74)</f>
        <v>0</v>
      </c>
      <c r="AF152" s="117">
        <f>IF(embedded_emissions_cost="no",0,'Life Cycle Assessment Data'!AF73+'Life Cycle Assessment Data'!AF74)</f>
        <v>0</v>
      </c>
      <c r="AG152" s="117">
        <f>IF(embedded_emissions_cost="no",0,'Life Cycle Assessment Data'!AG73+'Life Cycle Assessment Data'!AG74)</f>
        <v>0</v>
      </c>
      <c r="AH152" s="117">
        <f>IF(embedded_emissions_cost="no",0,'Life Cycle Assessment Data'!AH73+'Life Cycle Assessment Data'!AH74)</f>
        <v>0</v>
      </c>
      <c r="AI152" s="117">
        <f>IF(embedded_emissions_cost="no",0,'Life Cycle Assessment Data'!AI73+'Life Cycle Assessment Data'!AI74)</f>
        <v>0</v>
      </c>
      <c r="AJ152" s="117">
        <f>IF(OR(embedded_emissions_cost="no",pathway="shutdown")=TRUE,0,'Life Cycle Assessment Data'!AJ73+'Life Cycle Assessment Data'!AJ74)</f>
        <v>5.5844999999999998E-5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s="30" customFormat="1" outlineLevel="1" x14ac:dyDescent="0.25">
      <c r="A153"/>
      <c r="B153" s="18" t="s">
        <v>191</v>
      </c>
      <c r="C153" s="117">
        <f>IF(embedded_emissions_cost="no",0,IF(OR(pathway="biogas ccs", pathway="normal ccs")=TRUE,SUM('Life Cycle Assessment Data'!C75:C76),0))</f>
        <v>0</v>
      </c>
      <c r="D153" s="117">
        <f>IF(embedded_emissions_cost="no",0,IF(OR(pathway="biogas ccs", pathway="normal ccs")=TRUE,SUM('Life Cycle Assessment Data'!D75:D76),0))</f>
        <v>0</v>
      </c>
      <c r="E153" s="117">
        <f>IF(embedded_emissions_cost="no",0,IF(OR(pathway="biogas ccs", pathway="normal ccs")=TRUE,SUM('Life Cycle Assessment Data'!E75:E76),0))</f>
        <v>0</v>
      </c>
      <c r="F153" s="117">
        <f>IF(embedded_emissions_cost="no",0,IF(OR(pathway="biogas ccs", pathway="normal ccs")=TRUE,SUM('Life Cycle Assessment Data'!F75:F76),0))</f>
        <v>0</v>
      </c>
      <c r="G153" s="117">
        <f>IF(embedded_emissions_cost="no",0,IF(OR(pathway="biogas ccs", pathway="normal ccs")=TRUE,SUM('Life Cycle Assessment Data'!G75:G76),0))</f>
        <v>0</v>
      </c>
      <c r="H153" s="117">
        <f>IF(embedded_emissions_cost="no",0,IF(OR(pathway="biogas ccs", pathway="normal ccs")=TRUE,SUM('Life Cycle Assessment Data'!H75:H76),0))</f>
        <v>0</v>
      </c>
      <c r="I153" s="117">
        <f>IF(embedded_emissions_cost="no",0,IF(OR(pathway="biogas ccs", pathway="normal ccs")=TRUE,SUM('Life Cycle Assessment Data'!I75:I76),0))</f>
        <v>0</v>
      </c>
      <c r="J153" s="117">
        <f>IF(embedded_emissions_cost="no",0,IF(OR(pathway="biogas ccs", pathway="normal ccs")=TRUE,SUM('Life Cycle Assessment Data'!J75:J76),0))</f>
        <v>0</v>
      </c>
      <c r="K153" s="117">
        <f>IF(embedded_emissions_cost="no",0,IF(OR(pathway="biogas ccs", pathway="normal ccs")=TRUE,SUM('Life Cycle Assessment Data'!K75:K76),0))</f>
        <v>0</v>
      </c>
      <c r="L153" s="117">
        <f>IF(embedded_emissions_cost="no",0,IF(OR(pathway="biogas ccs", pathway="normal ccs")=TRUE,SUM('Life Cycle Assessment Data'!L75:L76),0))</f>
        <v>0</v>
      </c>
      <c r="M153" s="117">
        <f>IF(embedded_emissions_cost="no",0,IF(OR(pathway="biogas ccs", pathway="normal ccs")=TRUE,SUM('Life Cycle Assessment Data'!M75:M76),0))</f>
        <v>0</v>
      </c>
      <c r="N153" s="117">
        <f>IF(embedded_emissions_cost="no",0,IF(OR(pathway="biogas ccs", pathway="normal ccs")=TRUE,SUM('Life Cycle Assessment Data'!N75:N76),0))</f>
        <v>0</v>
      </c>
      <c r="O153" s="117">
        <f>IF(embedded_emissions_cost="no",0,IF(OR(pathway="biogas ccs", pathway="normal ccs")=TRUE,SUM('Life Cycle Assessment Data'!O75:O76),0))</f>
        <v>0</v>
      </c>
      <c r="P153" s="117">
        <f>IF(embedded_emissions_cost="no",0,IF(OR(pathway="biogas ccs", pathway="normal ccs")=TRUE,SUM('Life Cycle Assessment Data'!P75:P76),0))</f>
        <v>0</v>
      </c>
      <c r="Q153" s="117">
        <f>IF(embedded_emissions_cost="no",0,IF(OR(pathway="biogas ccs", pathway="normal ccs")=TRUE,SUM('Life Cycle Assessment Data'!Q75:Q76),0))</f>
        <v>0</v>
      </c>
      <c r="R153" s="117">
        <f>IF(embedded_emissions_cost="no",0,IF(OR(pathway="biogas ccs", pathway="normal ccs")=TRUE,SUM('Life Cycle Assessment Data'!R75:R76),0))</f>
        <v>0</v>
      </c>
      <c r="S153" s="117">
        <f>IF(embedded_emissions_cost="no",0,IF(OR(pathway="biogas ccs", pathway="normal ccs")=TRUE,SUM('Life Cycle Assessment Data'!S75:S76),0))</f>
        <v>0</v>
      </c>
      <c r="T153" s="117">
        <f>IF(embedded_emissions_cost="no",0,IF(OR(pathway="biogas ccs", pathway="normal ccs")=TRUE,SUM('Life Cycle Assessment Data'!T75:T76),0))</f>
        <v>0</v>
      </c>
      <c r="U153" s="117">
        <f>IF(embedded_emissions_cost="no",0,IF(OR(pathway="biogas ccs", pathway="normal ccs")=TRUE,SUM('Life Cycle Assessment Data'!U75:U76),0))</f>
        <v>0</v>
      </c>
      <c r="V153" s="117">
        <f>IF(embedded_emissions_cost="no",0,IF(OR(pathway="biogas ccs", pathway="normal ccs")=TRUE,SUM('Life Cycle Assessment Data'!V75:V76),0))</f>
        <v>0</v>
      </c>
      <c r="W153" s="117">
        <f>IF(embedded_emissions_cost="no",0,IF(OR(pathway="biogas ccs", pathway="normal ccs")=TRUE,SUM('Life Cycle Assessment Data'!W75:W76),0))</f>
        <v>0</v>
      </c>
      <c r="X153" s="117">
        <f>IF(embedded_emissions_cost="no",0,IF(OR(pathway="biogas ccs", pathway="normal ccs")=TRUE,SUM('Life Cycle Assessment Data'!X75:X76),0))</f>
        <v>0</v>
      </c>
      <c r="Y153" s="117">
        <f>IF(embedded_emissions_cost="no",0,IF(OR(pathway="biogas ccs", pathway="normal ccs")=TRUE,SUM('Life Cycle Assessment Data'!Y75:Y76),0))</f>
        <v>0</v>
      </c>
      <c r="Z153" s="117">
        <f>IF(embedded_emissions_cost="no",0,IF(OR(pathway="biogas ccs", pathway="normal ccs")=TRUE,SUM('Life Cycle Assessment Data'!Z75:Z76),0))</f>
        <v>0</v>
      </c>
      <c r="AA153" s="117">
        <f>IF(embedded_emissions_cost="no",0,IF(OR(pathway="biogas ccs", pathway="normal ccs")=TRUE,SUM('Life Cycle Assessment Data'!AA75:AA76),0))</f>
        <v>0</v>
      </c>
      <c r="AB153" s="117">
        <f>IF(embedded_emissions_cost="no",0,IF(OR(pathway="biogas ccs", pathway="normal ccs")=TRUE,SUM('Life Cycle Assessment Data'!AB75:AB76),0))</f>
        <v>0</v>
      </c>
      <c r="AC153" s="117">
        <f>IF(embedded_emissions_cost="no",0,IF(OR(pathway="biogas ccs", pathway="normal ccs")=TRUE,SUM('Life Cycle Assessment Data'!AC75:AC76),0))</f>
        <v>0</v>
      </c>
      <c r="AD153" s="117">
        <f>IF(embedded_emissions_cost="no",0,IF(OR(pathway="biogas ccs", pathway="normal ccs")=TRUE,SUM('Life Cycle Assessment Data'!AD75:AD76),0))</f>
        <v>0</v>
      </c>
      <c r="AE153" s="117">
        <f>IF(embedded_emissions_cost="no",0,IF(OR(pathway="biogas ccs", pathway="normal ccs")=TRUE,SUM('Life Cycle Assessment Data'!AE75:AE76),0))</f>
        <v>0</v>
      </c>
      <c r="AF153" s="117">
        <f>IF(embedded_emissions_cost="no",0,IF(OR(pathway="biogas ccs", pathway="normal ccs")=TRUE,SUM('Life Cycle Assessment Data'!AF75:AF76),0))</f>
        <v>0</v>
      </c>
      <c r="AG153" s="117">
        <f>IF(embedded_emissions_cost="no",0,IF(OR(pathway="biogas ccs", pathway="normal ccs")=TRUE,SUM('Life Cycle Assessment Data'!AG75:AG76),0))</f>
        <v>0</v>
      </c>
      <c r="AH153" s="117">
        <f>IF(embedded_emissions_cost="no",0,IF(OR(pathway="biogas ccs", pathway="normal ccs")=TRUE,SUM('Life Cycle Assessment Data'!AH75:AH76),0))</f>
        <v>0</v>
      </c>
      <c r="AI153" s="117">
        <f>IF(embedded_emissions_cost="no",0,IF(OR(pathway="biogas ccs", pathway="normal ccs")=TRUE,SUM('Life Cycle Assessment Data'!AI75:AI76),0))</f>
        <v>0</v>
      </c>
      <c r="AJ153" s="117">
        <f>IF(embedded_emissions_cost="no",0,IF(OR(pathway="biogas ccs", pathway="normal ccs")=TRUE,SUM('Life Cycle Assessment Data'!AJ75:AJ76),0))</f>
        <v>0</v>
      </c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s="30" customFormat="1" outlineLevel="1" x14ac:dyDescent="0.25">
      <c r="A154"/>
      <c r="B154" s="18" t="s">
        <v>192</v>
      </c>
      <c r="C154" s="117">
        <f>IF(AND(embedded_emissions_cost="yes",pathway="shutdown")=TRUE,'Life Cycle Assessment Data'!C77,0)</f>
        <v>0</v>
      </c>
      <c r="D154" s="117">
        <f>IF(AND(embedded_emissions_cost="yes",pathway="shutdown")=TRUE,'Life Cycle Assessment Data'!D77,0)</f>
        <v>0</v>
      </c>
      <c r="E154" s="117">
        <f>IF(AND(embedded_emissions_cost="yes",pathway="shutdown")=TRUE,'Life Cycle Assessment Data'!E77,0)</f>
        <v>0</v>
      </c>
      <c r="F154" s="117">
        <f>IF(AND(embedded_emissions_cost="yes",pathway="shutdown")=TRUE,'Life Cycle Assessment Data'!F77,0)</f>
        <v>0</v>
      </c>
      <c r="G154" s="117">
        <f>IF(AND(embedded_emissions_cost="yes",pathway="shutdown")=TRUE,'Life Cycle Assessment Data'!G77,0)</f>
        <v>0</v>
      </c>
      <c r="H154" s="117">
        <f>IF(AND(embedded_emissions_cost="yes",pathway="shutdown")=TRUE,'Life Cycle Assessment Data'!H77,0)</f>
        <v>0</v>
      </c>
      <c r="I154" s="117">
        <f>IF(AND(embedded_emissions_cost="yes",pathway="shutdown")=TRUE,'Life Cycle Assessment Data'!I77,0)</f>
        <v>0</v>
      </c>
      <c r="J154" s="117">
        <f>IF(AND(embedded_emissions_cost="yes",pathway="shutdown")=TRUE,'Life Cycle Assessment Data'!J77,0)</f>
        <v>0</v>
      </c>
      <c r="K154" s="117">
        <f>IF(AND(embedded_emissions_cost="yes",pathway="shutdown")=TRUE,'Life Cycle Assessment Data'!K77,0)</f>
        <v>0</v>
      </c>
      <c r="L154" s="117">
        <f>IF(AND(embedded_emissions_cost="yes",pathway="shutdown")=TRUE,'Life Cycle Assessment Data'!L77,0)</f>
        <v>0</v>
      </c>
      <c r="M154" s="117">
        <f>IF(AND(embedded_emissions_cost="yes",pathway="shutdown")=TRUE,'Life Cycle Assessment Data'!M77,0)</f>
        <v>0</v>
      </c>
      <c r="N154" s="117">
        <f>IF(AND(embedded_emissions_cost="yes",pathway="shutdown")=TRUE,'Life Cycle Assessment Data'!N77,0)</f>
        <v>0</v>
      </c>
      <c r="O154" s="117">
        <f>IF(AND(embedded_emissions_cost="yes",pathway="shutdown")=TRUE,'Life Cycle Assessment Data'!O77,0)</f>
        <v>0</v>
      </c>
      <c r="P154" s="117">
        <f>IF(AND(embedded_emissions_cost="yes",pathway="shutdown")=TRUE,'Life Cycle Assessment Data'!P77,0)</f>
        <v>0</v>
      </c>
      <c r="Q154" s="117">
        <f>IF(AND(embedded_emissions_cost="yes",pathway="shutdown")=TRUE,'Life Cycle Assessment Data'!Q77,0)</f>
        <v>0</v>
      </c>
      <c r="R154" s="117">
        <f>IF(AND(embedded_emissions_cost="yes",pathway="shutdown")=TRUE,'Life Cycle Assessment Data'!R77,0)</f>
        <v>0</v>
      </c>
      <c r="S154" s="117">
        <f>IF(AND(embedded_emissions_cost="yes",pathway="shutdown")=TRUE,'Life Cycle Assessment Data'!S77,0)</f>
        <v>0</v>
      </c>
      <c r="T154" s="117">
        <f>IF(AND(embedded_emissions_cost="yes",pathway="shutdown")=TRUE,'Life Cycle Assessment Data'!T77,0)</f>
        <v>0</v>
      </c>
      <c r="U154" s="117">
        <f>IF(AND(embedded_emissions_cost="yes",pathway="shutdown")=TRUE,'Life Cycle Assessment Data'!U77,0)</f>
        <v>0</v>
      </c>
      <c r="V154" s="117">
        <f>IF(AND(embedded_emissions_cost="yes",pathway="shutdown")=TRUE,'Life Cycle Assessment Data'!V77,0)</f>
        <v>0</v>
      </c>
      <c r="W154" s="117">
        <f>IF(AND(embedded_emissions_cost="yes",pathway="shutdown")=TRUE,'Life Cycle Assessment Data'!W77,0)</f>
        <v>0</v>
      </c>
      <c r="X154" s="117">
        <f>IF(AND(embedded_emissions_cost="yes",pathway="shutdown")=TRUE,'Life Cycle Assessment Data'!X77,0)</f>
        <v>0</v>
      </c>
      <c r="Y154" s="117">
        <f>IF(AND(embedded_emissions_cost="yes",pathway="shutdown")=TRUE,'Life Cycle Assessment Data'!Y77,0)</f>
        <v>0</v>
      </c>
      <c r="Z154" s="117">
        <f>IF(AND(embedded_emissions_cost="yes",pathway="shutdown")=TRUE,'Life Cycle Assessment Data'!Z77,0)</f>
        <v>0</v>
      </c>
      <c r="AA154" s="117">
        <f>IF(AND(embedded_emissions_cost="yes",pathway="shutdown")=TRUE,'Life Cycle Assessment Data'!AA77,0)</f>
        <v>0</v>
      </c>
      <c r="AB154" s="117">
        <f>IF(AND(embedded_emissions_cost="yes",pathway="shutdown")=TRUE,'Life Cycle Assessment Data'!AB77,0)</f>
        <v>0</v>
      </c>
      <c r="AC154" s="117">
        <f>IF(AND(embedded_emissions_cost="yes",pathway="shutdown")=TRUE,'Life Cycle Assessment Data'!AC77,0)</f>
        <v>0</v>
      </c>
      <c r="AD154" s="117">
        <f>IF(AND(embedded_emissions_cost="yes",pathway="shutdown")=TRUE,'Life Cycle Assessment Data'!AD77,0)</f>
        <v>0</v>
      </c>
      <c r="AE154" s="117">
        <f>IF(AND(embedded_emissions_cost="yes",pathway="shutdown")=TRUE,'Life Cycle Assessment Data'!AE77,0)</f>
        <v>0</v>
      </c>
      <c r="AF154" s="117">
        <f>IF(AND(embedded_emissions_cost="yes",pathway="shutdown")=TRUE,'Life Cycle Assessment Data'!AF77,0)</f>
        <v>0</v>
      </c>
      <c r="AG154" s="117">
        <f>IF(AND(embedded_emissions_cost="yes",pathway="shutdown")=TRUE,'Life Cycle Assessment Data'!AG77,0)</f>
        <v>0</v>
      </c>
      <c r="AH154" s="117">
        <f>IF(AND(embedded_emissions_cost="yes",pathway="shutdown")=TRUE,'Life Cycle Assessment Data'!AH77,0)</f>
        <v>0</v>
      </c>
      <c r="AI154" s="117">
        <f>IF(AND(embedded_emissions_cost="yes",pathway="shutdown")=TRUE,'Life Cycle Assessment Data'!AI77,0)</f>
        <v>0</v>
      </c>
      <c r="AJ154" s="117">
        <f>IF(AND(embedded_emissions_cost="yes",pathway="shutdown")=TRUE,'Life Cycle Assessment Data'!AJ77,0)</f>
        <v>0</v>
      </c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s="30" customFormat="1" outlineLevel="1" x14ac:dyDescent="0.25">
      <c r="A155"/>
      <c r="B155" s="18" t="s">
        <v>81</v>
      </c>
      <c r="C155" s="117">
        <v>0</v>
      </c>
      <c r="D155" s="117">
        <v>0</v>
      </c>
      <c r="E155" s="117">
        <v>0</v>
      </c>
      <c r="F155" s="326">
        <f>SUM(IF(ng_production_cost="yes",'Life Cycle Assessment Data'!F79*C128+IF(embedded_emissions_cost="yes",'Life Cycle Assessment Data'!F78,0)),IF(ng_combustion_cost="yes",'Life Cycle Assessment Data'!F84,0)*C128)</f>
        <v>1.929433313315922</v>
      </c>
      <c r="G155" s="326">
        <f>SUM(IF(ng_production_cost="yes",'Life Cycle Assessment Data'!G79*D128+IF(embedded_emissions_cost="yes",'Life Cycle Assessment Data'!G78,0)),IF(ng_combustion_cost="yes",'Life Cycle Assessment Data'!G84,0)*D128)</f>
        <v>1.929433313315922</v>
      </c>
      <c r="H155" s="326">
        <f>SUM(IF(ng_production_cost="yes",'Life Cycle Assessment Data'!H79*E128+IF(embedded_emissions_cost="yes",'Life Cycle Assessment Data'!H78,0)),IF(ng_combustion_cost="yes",'Life Cycle Assessment Data'!H84,0)*E128)</f>
        <v>1.929433313315922</v>
      </c>
      <c r="I155" s="326">
        <f>SUM(IF(ng_production_cost="yes",'Life Cycle Assessment Data'!I79*F128+IF(embedded_emissions_cost="yes",'Life Cycle Assessment Data'!I78,0)),IF(ng_combustion_cost="yes",'Life Cycle Assessment Data'!I84,0)*F128)</f>
        <v>1.929433313315922</v>
      </c>
      <c r="J155" s="326">
        <f>SUM(IF(ng_production_cost="yes",'Life Cycle Assessment Data'!J79*G128+IF(embedded_emissions_cost="yes",'Life Cycle Assessment Data'!J78,0)),IF(ng_combustion_cost="yes",'Life Cycle Assessment Data'!J84,0)*G128)</f>
        <v>1.929433313315922</v>
      </c>
      <c r="K155" s="326">
        <f>SUM(IF(ng_production_cost="yes",'Life Cycle Assessment Data'!K79*H128+IF(embedded_emissions_cost="yes",'Life Cycle Assessment Data'!K78,0)),IF(ng_combustion_cost="yes",'Life Cycle Assessment Data'!K84,0)*H128)</f>
        <v>1.929433313315922</v>
      </c>
      <c r="L155" s="326">
        <f>SUM(IF(ng_production_cost="yes",'Life Cycle Assessment Data'!L79*I128+IF(embedded_emissions_cost="yes",'Life Cycle Assessment Data'!L78,0)),IF(ng_combustion_cost="yes",'Life Cycle Assessment Data'!L84,0)*I128)</f>
        <v>1.929433313315922</v>
      </c>
      <c r="M155" s="326">
        <f>SUM(IF(ng_production_cost="yes",'Life Cycle Assessment Data'!M79*J128+IF(embedded_emissions_cost="yes",'Life Cycle Assessment Data'!M78,0)),IF(ng_combustion_cost="yes",'Life Cycle Assessment Data'!M84,0)*J128)</f>
        <v>1.929433313315922</v>
      </c>
      <c r="N155" s="326">
        <f>SUM(IF(ng_production_cost="yes",'Life Cycle Assessment Data'!N79*K128+IF(embedded_emissions_cost="yes",'Life Cycle Assessment Data'!N78,0)),IF(ng_combustion_cost="yes",'Life Cycle Assessment Data'!N84,0)*K128)</f>
        <v>1.929433313315922</v>
      </c>
      <c r="O155" s="326">
        <f>SUM(IF(ng_production_cost="yes",'Life Cycle Assessment Data'!O79*L128+IF(embedded_emissions_cost="yes",'Life Cycle Assessment Data'!O78,0)),IF(ng_combustion_cost="yes",'Life Cycle Assessment Data'!O84,0)*L128)</f>
        <v>1.929433313315922</v>
      </c>
      <c r="P155" s="326">
        <f>SUM(IF(ng_production_cost="yes",'Life Cycle Assessment Data'!P79*M128+IF(embedded_emissions_cost="yes",'Life Cycle Assessment Data'!P78,0)),IF(ng_combustion_cost="yes",'Life Cycle Assessment Data'!P84,0)*M128)</f>
        <v>1.929433313315922</v>
      </c>
      <c r="Q155" s="326">
        <f>SUM(IF(ng_production_cost="yes",'Life Cycle Assessment Data'!Q79*N128+IF(embedded_emissions_cost="yes",'Life Cycle Assessment Data'!Q78,0)),IF(ng_combustion_cost="yes",'Life Cycle Assessment Data'!Q84,0)*N128)</f>
        <v>1.929433313315922</v>
      </c>
      <c r="R155" s="326">
        <f>SUM(IF(ng_production_cost="yes",'Life Cycle Assessment Data'!R79*O128+IF(embedded_emissions_cost="yes",'Life Cycle Assessment Data'!R78,0)),IF(ng_combustion_cost="yes",'Life Cycle Assessment Data'!R84,0)*O128)</f>
        <v>1.929433313315922</v>
      </c>
      <c r="S155" s="326">
        <f>SUM(IF(ng_production_cost="yes",'Life Cycle Assessment Data'!S79*P128+IF(embedded_emissions_cost="yes",'Life Cycle Assessment Data'!S78,0)),IF(ng_combustion_cost="yes",'Life Cycle Assessment Data'!S84,0)*P128)</f>
        <v>1.929433313315922</v>
      </c>
      <c r="T155" s="326">
        <f>SUM(IF(ng_production_cost="yes",'Life Cycle Assessment Data'!T79*Q128+IF(embedded_emissions_cost="yes",'Life Cycle Assessment Data'!T78,0)),IF(ng_combustion_cost="yes",'Life Cycle Assessment Data'!T84,0)*Q128)</f>
        <v>1.929433313315922</v>
      </c>
      <c r="U155" s="326">
        <f>SUM(IF(ng_production_cost="yes",'Life Cycle Assessment Data'!U79*R128+IF(embedded_emissions_cost="yes",'Life Cycle Assessment Data'!U78,0)),IF(ng_combustion_cost="yes",'Life Cycle Assessment Data'!U84,0)*R128)</f>
        <v>1.929433313315922</v>
      </c>
      <c r="V155" s="326">
        <f>SUM(IF(ng_production_cost="yes",'Life Cycle Assessment Data'!V79*S128+IF(embedded_emissions_cost="yes",'Life Cycle Assessment Data'!V78,0)),IF(ng_combustion_cost="yes",'Life Cycle Assessment Data'!V84,0)*S128)</f>
        <v>1.929433313315922</v>
      </c>
      <c r="W155" s="326">
        <f>SUM(IF(ng_production_cost="yes",'Life Cycle Assessment Data'!W79*T128+IF(embedded_emissions_cost="yes",'Life Cycle Assessment Data'!W78,0)),IF(ng_combustion_cost="yes",'Life Cycle Assessment Data'!W84,0)*T128)</f>
        <v>1.929433313315922</v>
      </c>
      <c r="X155" s="326">
        <f>SUM(IF(ng_production_cost="yes",'Life Cycle Assessment Data'!X79*U128+IF(embedded_emissions_cost="yes",'Life Cycle Assessment Data'!X78,0)),IF(ng_combustion_cost="yes",'Life Cycle Assessment Data'!X84,0)*U128)</f>
        <v>1.929433313315922</v>
      </c>
      <c r="Y155" s="326">
        <f>SUM(IF(ng_production_cost="yes",'Life Cycle Assessment Data'!Y79*V128+IF(embedded_emissions_cost="yes",'Life Cycle Assessment Data'!Y78,0)),IF(ng_combustion_cost="yes",'Life Cycle Assessment Data'!Y84,0)*V128)</f>
        <v>1.929433313315922</v>
      </c>
      <c r="Z155" s="326">
        <f>SUM(IF(ng_production_cost="yes",'Life Cycle Assessment Data'!Z79*W128+IF(embedded_emissions_cost="yes",'Life Cycle Assessment Data'!Z78,0)),IF(ng_combustion_cost="yes",'Life Cycle Assessment Data'!Z84,0)*W128)</f>
        <v>1.929433313315922</v>
      </c>
      <c r="AA155" s="326">
        <f>SUM(IF(ng_production_cost="yes",'Life Cycle Assessment Data'!AA79*X128+IF(embedded_emissions_cost="yes",'Life Cycle Assessment Data'!AA78,0)),IF(ng_combustion_cost="yes",'Life Cycle Assessment Data'!AA84,0)*X128)</f>
        <v>1.929433313315922</v>
      </c>
      <c r="AB155" s="326">
        <f>SUM(IF(ng_production_cost="yes",'Life Cycle Assessment Data'!AB79*Y128+IF(embedded_emissions_cost="yes",'Life Cycle Assessment Data'!AB78,0)),IF(ng_combustion_cost="yes",'Life Cycle Assessment Data'!AB84,0)*Y128)</f>
        <v>1.929433313315922</v>
      </c>
      <c r="AC155" s="326">
        <f>SUM(IF(ng_production_cost="yes",'Life Cycle Assessment Data'!AC79*Z128+IF(embedded_emissions_cost="yes",'Life Cycle Assessment Data'!AC78,0)),IF(ng_combustion_cost="yes",'Life Cycle Assessment Data'!AC84,0)*Z128)</f>
        <v>1.929433313315922</v>
      </c>
      <c r="AD155" s="326">
        <f>SUM(IF(ng_production_cost="yes",'Life Cycle Assessment Data'!AD79*AA128+IF(embedded_emissions_cost="yes",'Life Cycle Assessment Data'!AD78,0)),IF(ng_combustion_cost="yes",'Life Cycle Assessment Data'!AD84,0)*AA128)</f>
        <v>1.929433313315922</v>
      </c>
      <c r="AE155" s="326">
        <f>SUM(IF(ng_production_cost="yes",'Life Cycle Assessment Data'!AE79*AB128+IF(embedded_emissions_cost="yes",'Life Cycle Assessment Data'!AE78,0)),IF(ng_combustion_cost="yes",'Life Cycle Assessment Data'!AE84,0)*AB128)</f>
        <v>1.929433313315922</v>
      </c>
      <c r="AF155" s="326">
        <f>SUM(IF(ng_production_cost="yes",'Life Cycle Assessment Data'!AF79*AC128+IF(embedded_emissions_cost="yes",'Life Cycle Assessment Data'!AF78,0)),IF(ng_combustion_cost="yes",'Life Cycle Assessment Data'!AF84,0)*AC128)</f>
        <v>1.929433313315922</v>
      </c>
      <c r="AG155" s="326">
        <f>SUM(IF(ng_production_cost="yes",'Life Cycle Assessment Data'!AG79*AD128+IF(embedded_emissions_cost="yes",'Life Cycle Assessment Data'!AG78,0)),IF(ng_combustion_cost="yes",'Life Cycle Assessment Data'!AG84,0)*AD128)</f>
        <v>1.929433313315922</v>
      </c>
      <c r="AH155" s="326">
        <f>SUM(IF(ng_production_cost="yes",'Life Cycle Assessment Data'!AH79*AE128+IF(embedded_emissions_cost="yes",'Life Cycle Assessment Data'!AH78,0)),IF(ng_combustion_cost="yes",'Life Cycle Assessment Data'!AH84,0)*AE128)</f>
        <v>1.929433313315922</v>
      </c>
      <c r="AI155" s="326">
        <f>SUM(IF(ng_production_cost="yes",'Life Cycle Assessment Data'!AI79*AF128+IF(embedded_emissions_cost="yes",'Life Cycle Assessment Data'!AI78,0)),IF(ng_combustion_cost="yes",'Life Cycle Assessment Data'!AI84,0)*AF128)</f>
        <v>1.929433313315922</v>
      </c>
      <c r="AJ155" s="326">
        <f>SUM(IF(ng_production_cost="yes",'Life Cycle Assessment Data'!AJ79*AG128+IF(embedded_emissions_cost="yes",'Life Cycle Assessment Data'!AJ78,0)),IF(ng_combustion_cost="yes",'Life Cycle Assessment Data'!AJ84,0)*AG128)</f>
        <v>1.929433313315922</v>
      </c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s="30" customFormat="1" outlineLevel="1" x14ac:dyDescent="0.25">
      <c r="B156" s="18" t="s">
        <v>82</v>
      </c>
      <c r="C156" s="117">
        <v>0</v>
      </c>
      <c r="D156" s="117">
        <v>0</v>
      </c>
      <c r="E156" s="117">
        <v>0</v>
      </c>
      <c r="F156" s="226">
        <f>SUM(IF(ng_production_cost="yes",'Life Cycle Assessment Data'!F81*C129+IF(embedded_emissions_cost="yes",'Life Cycle Assessment Data'!F80,0)),IF(ng_combustion_cost="yes",'Life Cycle Assessment Data'!F85,0)*C129)</f>
        <v>3.7445182097553272E-7</v>
      </c>
      <c r="G156" s="226">
        <f>SUM(IF(ng_production_cost="yes",'Life Cycle Assessment Data'!G81*D129+IF(embedded_emissions_cost="yes",'Life Cycle Assessment Data'!G80,0)),IF(ng_combustion_cost="yes",'Life Cycle Assessment Data'!G85,0)*D129)</f>
        <v>3.7445182097553272E-7</v>
      </c>
      <c r="H156" s="226">
        <f>SUM(IF(ng_production_cost="yes",'Life Cycle Assessment Data'!H81*E129+IF(embedded_emissions_cost="yes",'Life Cycle Assessment Data'!H80,0)),IF(ng_combustion_cost="yes",'Life Cycle Assessment Data'!H85,0)*E129)</f>
        <v>3.7445182097553272E-7</v>
      </c>
      <c r="I156" s="226">
        <f>SUM(IF(ng_production_cost="yes",'Life Cycle Assessment Data'!I81*F129+IF(embedded_emissions_cost="yes",'Life Cycle Assessment Data'!I80,0)),IF(ng_combustion_cost="yes",'Life Cycle Assessment Data'!I85,0)*F129)</f>
        <v>3.7445182097553272E-7</v>
      </c>
      <c r="J156" s="226">
        <f>SUM(IF(ng_production_cost="yes",'Life Cycle Assessment Data'!J81*G129+IF(embedded_emissions_cost="yes",'Life Cycle Assessment Data'!J80,0)),IF(ng_combustion_cost="yes",'Life Cycle Assessment Data'!J85,0)*G129)</f>
        <v>3.7445182097553272E-7</v>
      </c>
      <c r="K156" s="226">
        <f>SUM(IF(ng_production_cost="yes",'Life Cycle Assessment Data'!K81*H129+IF(embedded_emissions_cost="yes",'Life Cycle Assessment Data'!K80,0)),IF(ng_combustion_cost="yes",'Life Cycle Assessment Data'!K85,0)*H129)</f>
        <v>3.7445182097553272E-7</v>
      </c>
      <c r="L156" s="226">
        <f>SUM(IF(ng_production_cost="yes",'Life Cycle Assessment Data'!L81*I129+IF(embedded_emissions_cost="yes",'Life Cycle Assessment Data'!L80,0)),IF(ng_combustion_cost="yes",'Life Cycle Assessment Data'!L85,0)*I129)</f>
        <v>3.7445182097553272E-7</v>
      </c>
      <c r="M156" s="226">
        <f>SUM(IF(ng_production_cost="yes",'Life Cycle Assessment Data'!M81*J129+IF(embedded_emissions_cost="yes",'Life Cycle Assessment Data'!M80,0)),IF(ng_combustion_cost="yes",'Life Cycle Assessment Data'!M85,0)*J129)</f>
        <v>3.7445182097553272E-7</v>
      </c>
      <c r="N156" s="226">
        <f>SUM(IF(ng_production_cost="yes",'Life Cycle Assessment Data'!N81*K129+IF(embedded_emissions_cost="yes",'Life Cycle Assessment Data'!N80,0)),IF(ng_combustion_cost="yes",'Life Cycle Assessment Data'!N85,0)*K129)</f>
        <v>3.7445182097553272E-7</v>
      </c>
      <c r="O156" s="226">
        <f>SUM(IF(ng_production_cost="yes",'Life Cycle Assessment Data'!O81*L129+IF(embedded_emissions_cost="yes",'Life Cycle Assessment Data'!O80,0)),IF(ng_combustion_cost="yes",'Life Cycle Assessment Data'!O85,0)*L129)</f>
        <v>3.7445182097553272E-7</v>
      </c>
      <c r="P156" s="226">
        <f>SUM(IF(ng_production_cost="yes",'Life Cycle Assessment Data'!P81*M129+IF(embedded_emissions_cost="yes",'Life Cycle Assessment Data'!P80,0)),IF(ng_combustion_cost="yes",'Life Cycle Assessment Data'!P85,0)*M129)</f>
        <v>3.7445182097553272E-7</v>
      </c>
      <c r="Q156" s="226">
        <f>SUM(IF(ng_production_cost="yes",'Life Cycle Assessment Data'!Q81*N129+IF(embedded_emissions_cost="yes",'Life Cycle Assessment Data'!Q80,0)),IF(ng_combustion_cost="yes",'Life Cycle Assessment Data'!Q85,0)*N129)</f>
        <v>3.7445182097553272E-7</v>
      </c>
      <c r="R156" s="226">
        <f>SUM(IF(ng_production_cost="yes",'Life Cycle Assessment Data'!R81*O129+IF(embedded_emissions_cost="yes",'Life Cycle Assessment Data'!R80,0)),IF(ng_combustion_cost="yes",'Life Cycle Assessment Data'!R85,0)*O129)</f>
        <v>3.7445182097553272E-7</v>
      </c>
      <c r="S156" s="226">
        <f>SUM(IF(ng_production_cost="yes",'Life Cycle Assessment Data'!S81*P129+IF(embedded_emissions_cost="yes",'Life Cycle Assessment Data'!S80,0)),IF(ng_combustion_cost="yes",'Life Cycle Assessment Data'!S85,0)*P129)</f>
        <v>3.7445182097553272E-7</v>
      </c>
      <c r="T156" s="226">
        <f>SUM(IF(ng_production_cost="yes",'Life Cycle Assessment Data'!T81*Q129+IF(embedded_emissions_cost="yes",'Life Cycle Assessment Data'!T80,0)),IF(ng_combustion_cost="yes",'Life Cycle Assessment Data'!T85,0)*Q129)</f>
        <v>3.7445182097553272E-7</v>
      </c>
      <c r="U156" s="226">
        <f>SUM(IF(ng_production_cost="yes",'Life Cycle Assessment Data'!U81*R129+IF(embedded_emissions_cost="yes",'Life Cycle Assessment Data'!U80,0)),IF(ng_combustion_cost="yes",'Life Cycle Assessment Data'!U85,0)*R129)</f>
        <v>3.7445182097553272E-7</v>
      </c>
      <c r="V156" s="226">
        <f>SUM(IF(ng_production_cost="yes",'Life Cycle Assessment Data'!V81*S129+IF(embedded_emissions_cost="yes",'Life Cycle Assessment Data'!V80,0)),IF(ng_combustion_cost="yes",'Life Cycle Assessment Data'!V85,0)*S129)</f>
        <v>3.7445182097553272E-7</v>
      </c>
      <c r="W156" s="226">
        <f>SUM(IF(ng_production_cost="yes",'Life Cycle Assessment Data'!W81*T129+IF(embedded_emissions_cost="yes",'Life Cycle Assessment Data'!W80,0)),IF(ng_combustion_cost="yes",'Life Cycle Assessment Data'!W85,0)*T129)</f>
        <v>3.7445182097553272E-7</v>
      </c>
      <c r="X156" s="226">
        <f>SUM(IF(ng_production_cost="yes",'Life Cycle Assessment Data'!X81*U129+IF(embedded_emissions_cost="yes",'Life Cycle Assessment Data'!X80,0)),IF(ng_combustion_cost="yes",'Life Cycle Assessment Data'!X85,0)*U129)</f>
        <v>3.7445182097553272E-7</v>
      </c>
      <c r="Y156" s="226">
        <f>SUM(IF(ng_production_cost="yes",'Life Cycle Assessment Data'!Y81*V129+IF(embedded_emissions_cost="yes",'Life Cycle Assessment Data'!Y80,0)),IF(ng_combustion_cost="yes",'Life Cycle Assessment Data'!Y85,0)*V129)</f>
        <v>3.7445182097553272E-7</v>
      </c>
      <c r="Z156" s="226">
        <f>SUM(IF(ng_production_cost="yes",'Life Cycle Assessment Data'!Z81*W129+IF(embedded_emissions_cost="yes",'Life Cycle Assessment Data'!Z80,0)),IF(ng_combustion_cost="yes",'Life Cycle Assessment Data'!Z85,0)*W129)</f>
        <v>3.7445182097553272E-7</v>
      </c>
      <c r="AA156" s="226">
        <f>SUM(IF(ng_production_cost="yes",'Life Cycle Assessment Data'!AA81*X129+IF(embedded_emissions_cost="yes",'Life Cycle Assessment Data'!AA80,0)),IF(ng_combustion_cost="yes",'Life Cycle Assessment Data'!AA85,0)*X129)</f>
        <v>3.7445182097553272E-7</v>
      </c>
      <c r="AB156" s="226">
        <f>SUM(IF(ng_production_cost="yes",'Life Cycle Assessment Data'!AB81*Y129+IF(embedded_emissions_cost="yes",'Life Cycle Assessment Data'!AB80,0)),IF(ng_combustion_cost="yes",'Life Cycle Assessment Data'!AB85,0)*Y129)</f>
        <v>3.7445182097553272E-7</v>
      </c>
      <c r="AC156" s="226">
        <f>SUM(IF(ng_production_cost="yes",'Life Cycle Assessment Data'!AC81*Z129+IF(embedded_emissions_cost="yes",'Life Cycle Assessment Data'!AC80,0)),IF(ng_combustion_cost="yes",'Life Cycle Assessment Data'!AC85,0)*Z129)</f>
        <v>3.7445182097553272E-7</v>
      </c>
      <c r="AD156" s="226">
        <f>SUM(IF(ng_production_cost="yes",'Life Cycle Assessment Data'!AD81*AA129+IF(embedded_emissions_cost="yes",'Life Cycle Assessment Data'!AD80,0)),IF(ng_combustion_cost="yes",'Life Cycle Assessment Data'!AD85,0)*AA129)</f>
        <v>3.7445182097553272E-7</v>
      </c>
      <c r="AE156" s="226">
        <f>SUM(IF(ng_production_cost="yes",'Life Cycle Assessment Data'!AE81*AB129+IF(embedded_emissions_cost="yes",'Life Cycle Assessment Data'!AE80,0)),IF(ng_combustion_cost="yes",'Life Cycle Assessment Data'!AE85,0)*AB129)</f>
        <v>3.7445182097553272E-7</v>
      </c>
      <c r="AF156" s="226">
        <f>SUM(IF(ng_production_cost="yes",'Life Cycle Assessment Data'!AF81*AC129+IF(embedded_emissions_cost="yes",'Life Cycle Assessment Data'!AF80,0)),IF(ng_combustion_cost="yes",'Life Cycle Assessment Data'!AF85,0)*AC129)</f>
        <v>3.7445182097553272E-7</v>
      </c>
      <c r="AG156" s="226">
        <f>SUM(IF(ng_production_cost="yes",'Life Cycle Assessment Data'!AG81*AD129+IF(embedded_emissions_cost="yes",'Life Cycle Assessment Data'!AG80,0)),IF(ng_combustion_cost="yes",'Life Cycle Assessment Data'!AG85,0)*AD129)</f>
        <v>3.7445182097553272E-7</v>
      </c>
      <c r="AH156" s="226">
        <f>SUM(IF(ng_production_cost="yes",'Life Cycle Assessment Data'!AH81*AE129+IF(embedded_emissions_cost="yes",'Life Cycle Assessment Data'!AH80,0)),IF(ng_combustion_cost="yes",'Life Cycle Assessment Data'!AH85,0)*AE129)</f>
        <v>3.7445182097553272E-7</v>
      </c>
      <c r="AI156" s="226">
        <f>SUM(IF(ng_production_cost="yes",'Life Cycle Assessment Data'!AI81*AF129+IF(embedded_emissions_cost="yes",'Life Cycle Assessment Data'!AI80,0)),IF(ng_combustion_cost="yes",'Life Cycle Assessment Data'!AI85,0)*AF129)</f>
        <v>3.7445182097553272E-7</v>
      </c>
      <c r="AJ156" s="226">
        <f>SUM(IF(ng_production_cost="yes",'Life Cycle Assessment Data'!AJ81*AG129+IF(embedded_emissions_cost="yes",'Life Cycle Assessment Data'!AJ80,0)),IF(ng_combustion_cost="yes",'Life Cycle Assessment Data'!AJ85,0)*AG129)</f>
        <v>3.7445182097553272E-7</v>
      </c>
    </row>
    <row r="157" spans="1:53" s="30" customFormat="1" outlineLevel="1" x14ac:dyDescent="0.25">
      <c r="A157"/>
      <c r="B157" s="15" t="s">
        <v>83</v>
      </c>
      <c r="C157" s="117">
        <v>0</v>
      </c>
      <c r="D157" s="117">
        <v>0</v>
      </c>
      <c r="E157" s="117">
        <v>0</v>
      </c>
      <c r="F157" s="226">
        <f>'Life Cycle Assessment Data'!F120*C130</f>
        <v>0</v>
      </c>
      <c r="G157" s="226">
        <f>'Life Cycle Assessment Data'!G120*D130</f>
        <v>0</v>
      </c>
      <c r="H157" s="226">
        <f>'Life Cycle Assessment Data'!H120*E130</f>
        <v>0</v>
      </c>
      <c r="I157" s="226">
        <f>'Life Cycle Assessment Data'!I120*F130</f>
        <v>0</v>
      </c>
      <c r="J157" s="226">
        <f>'Life Cycle Assessment Data'!J120*G130</f>
        <v>0</v>
      </c>
      <c r="K157" s="226">
        <f>'Life Cycle Assessment Data'!K120*H130</f>
        <v>0</v>
      </c>
      <c r="L157" s="226">
        <f>'Life Cycle Assessment Data'!L120*I130</f>
        <v>0</v>
      </c>
      <c r="M157" s="226">
        <f>'Life Cycle Assessment Data'!M120*J130</f>
        <v>0</v>
      </c>
      <c r="N157" s="226">
        <f>'Life Cycle Assessment Data'!N120*K130</f>
        <v>0</v>
      </c>
      <c r="O157" s="226">
        <f>'Life Cycle Assessment Data'!O120*L130</f>
        <v>0</v>
      </c>
      <c r="P157" s="226">
        <f>'Life Cycle Assessment Data'!P120*M130</f>
        <v>0</v>
      </c>
      <c r="Q157" s="226">
        <f>'Life Cycle Assessment Data'!Q120*N130</f>
        <v>0</v>
      </c>
      <c r="R157" s="226">
        <f>'Life Cycle Assessment Data'!R120*O130</f>
        <v>0</v>
      </c>
      <c r="S157" s="226">
        <f>'Life Cycle Assessment Data'!S120*P130</f>
        <v>0</v>
      </c>
      <c r="T157" s="226">
        <f>'Life Cycle Assessment Data'!T120*Q130</f>
        <v>0</v>
      </c>
      <c r="U157" s="226">
        <f>'Life Cycle Assessment Data'!U120*R130</f>
        <v>0</v>
      </c>
      <c r="V157" s="226">
        <f>'Life Cycle Assessment Data'!V120*S130</f>
        <v>0</v>
      </c>
      <c r="W157" s="226">
        <f>'Life Cycle Assessment Data'!W120*T130</f>
        <v>0</v>
      </c>
      <c r="X157" s="226">
        <f>'Life Cycle Assessment Data'!X120*U130</f>
        <v>0</v>
      </c>
      <c r="Y157" s="226">
        <f>'Life Cycle Assessment Data'!Y120*V130</f>
        <v>0</v>
      </c>
      <c r="Z157" s="226">
        <f>'Life Cycle Assessment Data'!Z120*W130</f>
        <v>0</v>
      </c>
      <c r="AA157" s="226">
        <f>'Life Cycle Assessment Data'!AA120*X130</f>
        <v>0</v>
      </c>
      <c r="AB157" s="226">
        <f>'Life Cycle Assessment Data'!AB120*Y130</f>
        <v>0</v>
      </c>
      <c r="AC157" s="226">
        <f>'Life Cycle Assessment Data'!AC120*Z130</f>
        <v>0</v>
      </c>
      <c r="AD157" s="226">
        <f>'Life Cycle Assessment Data'!AD120*AA130</f>
        <v>0</v>
      </c>
      <c r="AE157" s="226">
        <f>'Life Cycle Assessment Data'!AE120*AB130</f>
        <v>0</v>
      </c>
      <c r="AF157" s="226">
        <f>'Life Cycle Assessment Data'!AF120*AC130</f>
        <v>0</v>
      </c>
      <c r="AG157" s="226">
        <f>'Life Cycle Assessment Data'!AG120*AD130</f>
        <v>0</v>
      </c>
      <c r="AH157" s="226">
        <f>'Life Cycle Assessment Data'!AH120*AE130</f>
        <v>0</v>
      </c>
      <c r="AI157" s="226">
        <f>'Life Cycle Assessment Data'!AI120*AF130</f>
        <v>0</v>
      </c>
      <c r="AJ157" s="226">
        <f>'Life Cycle Assessment Data'!AJ120*AG130</f>
        <v>0</v>
      </c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s="30" customFormat="1" outlineLevel="1" x14ac:dyDescent="0.25">
      <c r="A158"/>
      <c r="B158" s="15" t="s">
        <v>84</v>
      </c>
      <c r="C158" s="117">
        <v>0</v>
      </c>
      <c r="D158" s="117">
        <v>0</v>
      </c>
      <c r="E158" s="117">
        <v>0</v>
      </c>
      <c r="F158" s="226">
        <f>IF(bio_production_cost="no",'Life Cycle Assessment Data'!F87*C131,SUM('Life Cycle Assessment Data'!F82,'Life Cycle Assessment Data'!F87)*C131)</f>
        <v>0</v>
      </c>
      <c r="G158" s="226">
        <f>IF(bio_production_cost="no",'Life Cycle Assessment Data'!G87*D131,SUM('Life Cycle Assessment Data'!G82,'Life Cycle Assessment Data'!G87)*D131)</f>
        <v>0</v>
      </c>
      <c r="H158" s="226">
        <f>IF(bio_production_cost="no",'Life Cycle Assessment Data'!H87*E131,SUM('Life Cycle Assessment Data'!H82,'Life Cycle Assessment Data'!H87)*E131)</f>
        <v>0</v>
      </c>
      <c r="I158" s="226">
        <f>IF(bio_production_cost="no",'Life Cycle Assessment Data'!I87*F131,SUM('Life Cycle Assessment Data'!I82,'Life Cycle Assessment Data'!I87)*F131)</f>
        <v>0</v>
      </c>
      <c r="J158" s="226">
        <f>IF(bio_production_cost="no",'Life Cycle Assessment Data'!J87*G131,SUM('Life Cycle Assessment Data'!J82,'Life Cycle Assessment Data'!J87)*G131)</f>
        <v>0</v>
      </c>
      <c r="K158" s="226">
        <f>IF(bio_production_cost="no",'Life Cycle Assessment Data'!K87*H131,SUM('Life Cycle Assessment Data'!K82,'Life Cycle Assessment Data'!K87)*H131)</f>
        <v>0</v>
      </c>
      <c r="L158" s="226">
        <f>IF(bio_production_cost="no",'Life Cycle Assessment Data'!L87*I131,SUM('Life Cycle Assessment Data'!L82,'Life Cycle Assessment Data'!L87)*I131)</f>
        <v>0</v>
      </c>
      <c r="M158" s="226">
        <f>IF(bio_production_cost="no",'Life Cycle Assessment Data'!M87*J131,SUM('Life Cycle Assessment Data'!M82,'Life Cycle Assessment Data'!M87)*J131)</f>
        <v>0</v>
      </c>
      <c r="N158" s="226">
        <f>IF(bio_production_cost="no",'Life Cycle Assessment Data'!N87*K131,SUM('Life Cycle Assessment Data'!N82,'Life Cycle Assessment Data'!N87)*K131)</f>
        <v>0</v>
      </c>
      <c r="O158" s="226">
        <f>IF(bio_production_cost="no",'Life Cycle Assessment Data'!O87*L131,SUM('Life Cycle Assessment Data'!O82,'Life Cycle Assessment Data'!O87)*L131)</f>
        <v>0</v>
      </c>
      <c r="P158" s="226">
        <f>IF(bio_production_cost="no",'Life Cycle Assessment Data'!P87*M131,SUM('Life Cycle Assessment Data'!P82,'Life Cycle Assessment Data'!P87)*M131)</f>
        <v>0</v>
      </c>
      <c r="Q158" s="226">
        <f>IF(bio_production_cost="no",'Life Cycle Assessment Data'!Q87*N131,SUM('Life Cycle Assessment Data'!Q82,'Life Cycle Assessment Data'!Q87)*N131)</f>
        <v>0</v>
      </c>
      <c r="R158" s="226">
        <f>IF(bio_production_cost="no",'Life Cycle Assessment Data'!R87*O131,SUM('Life Cycle Assessment Data'!R82,'Life Cycle Assessment Data'!R87)*O131)</f>
        <v>0</v>
      </c>
      <c r="S158" s="226">
        <f>IF(bio_production_cost="no",'Life Cycle Assessment Data'!S87*P131,SUM('Life Cycle Assessment Data'!S82,'Life Cycle Assessment Data'!S87)*P131)</f>
        <v>0</v>
      </c>
      <c r="T158" s="226">
        <f>IF(bio_production_cost="no",'Life Cycle Assessment Data'!T87*Q131,SUM('Life Cycle Assessment Data'!T82,'Life Cycle Assessment Data'!T87)*Q131)</f>
        <v>0</v>
      </c>
      <c r="U158" s="226">
        <f>IF(bio_production_cost="no",'Life Cycle Assessment Data'!U87*R131,SUM('Life Cycle Assessment Data'!U82,'Life Cycle Assessment Data'!U87)*R131)</f>
        <v>0</v>
      </c>
      <c r="V158" s="226">
        <f>IF(bio_production_cost="no",'Life Cycle Assessment Data'!V87*S131,SUM('Life Cycle Assessment Data'!V82,'Life Cycle Assessment Data'!V87)*S131)</f>
        <v>0</v>
      </c>
      <c r="W158" s="226">
        <f>IF(bio_production_cost="no",'Life Cycle Assessment Data'!W87*T131,SUM('Life Cycle Assessment Data'!W82,'Life Cycle Assessment Data'!W87)*T131)</f>
        <v>0</v>
      </c>
      <c r="X158" s="226">
        <f>IF(bio_production_cost="no",'Life Cycle Assessment Data'!X87*U131,SUM('Life Cycle Assessment Data'!X82,'Life Cycle Assessment Data'!X87)*U131)</f>
        <v>0</v>
      </c>
      <c r="Y158" s="226">
        <f>IF(bio_production_cost="no",'Life Cycle Assessment Data'!Y87*V131,SUM('Life Cycle Assessment Data'!Y82,'Life Cycle Assessment Data'!Y87)*V131)</f>
        <v>0</v>
      </c>
      <c r="Z158" s="226">
        <f>IF(bio_production_cost="no",'Life Cycle Assessment Data'!Z87*W131,SUM('Life Cycle Assessment Data'!Z82,'Life Cycle Assessment Data'!Z87)*W131)</f>
        <v>0</v>
      </c>
      <c r="AA158" s="226">
        <f>IF(bio_production_cost="no",'Life Cycle Assessment Data'!AA87*X131,SUM('Life Cycle Assessment Data'!AA82,'Life Cycle Assessment Data'!AA87)*X131)</f>
        <v>0</v>
      </c>
      <c r="AB158" s="226">
        <f>IF(bio_production_cost="no",'Life Cycle Assessment Data'!AB87*Y131,SUM('Life Cycle Assessment Data'!AB82,'Life Cycle Assessment Data'!AB87)*Y131)</f>
        <v>0</v>
      </c>
      <c r="AC158" s="226">
        <f>IF(bio_production_cost="no",'Life Cycle Assessment Data'!AC87*Z131,SUM('Life Cycle Assessment Data'!AC82,'Life Cycle Assessment Data'!AC87)*Z131)</f>
        <v>0</v>
      </c>
      <c r="AD158" s="226">
        <f>IF(bio_production_cost="no",'Life Cycle Assessment Data'!AD87*AA131,SUM('Life Cycle Assessment Data'!AD82,'Life Cycle Assessment Data'!AD87)*AA131)</f>
        <v>0</v>
      </c>
      <c r="AE158" s="226">
        <f>IF(bio_production_cost="no",'Life Cycle Assessment Data'!AE87*AB131,SUM('Life Cycle Assessment Data'!AE82,'Life Cycle Assessment Data'!AE87)*AB131)</f>
        <v>0</v>
      </c>
      <c r="AF158" s="226">
        <f>IF(bio_production_cost="no",'Life Cycle Assessment Data'!AF87*AC131,SUM('Life Cycle Assessment Data'!AF82,'Life Cycle Assessment Data'!AF87)*AC131)</f>
        <v>0</v>
      </c>
      <c r="AG158" s="226">
        <f>IF(bio_production_cost="no",'Life Cycle Assessment Data'!AG87*AD131,SUM('Life Cycle Assessment Data'!AG82,'Life Cycle Assessment Data'!AG87)*AD131)</f>
        <v>0</v>
      </c>
      <c r="AH158" s="226">
        <f>IF(bio_production_cost="no",'Life Cycle Assessment Data'!AH87*AE131,SUM('Life Cycle Assessment Data'!AH82,'Life Cycle Assessment Data'!AH87)*AE131)</f>
        <v>0</v>
      </c>
      <c r="AI158" s="226">
        <f>IF(bio_production_cost="no",'Life Cycle Assessment Data'!AI87*AF131,SUM('Life Cycle Assessment Data'!AI82,'Life Cycle Assessment Data'!AI87)*AF131)</f>
        <v>0</v>
      </c>
      <c r="AJ158" s="226">
        <f>IF(bio_production_cost="no",'Life Cycle Assessment Data'!AJ87*AG131,SUM('Life Cycle Assessment Data'!AJ82,'Life Cycle Assessment Data'!AJ87)*AG131)</f>
        <v>0</v>
      </c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s="30" customFormat="1" outlineLevel="1" x14ac:dyDescent="0.25">
      <c r="A159"/>
      <c r="B159" s="15" t="s">
        <v>85</v>
      </c>
      <c r="C159" s="117">
        <v>0</v>
      </c>
      <c r="D159" s="117">
        <v>0</v>
      </c>
      <c r="E159" s="117">
        <v>0</v>
      </c>
      <c r="F159" s="226">
        <f>IF(bio_production_cost="no",'Life Cycle Assessment Data'!F88*C132,SUM('Life Cycle Assessment Data'!F83,'Life Cycle Assessment Data'!F88)*C132)</f>
        <v>0</v>
      </c>
      <c r="G159" s="226">
        <f>IF(bio_production_cost="no",'Life Cycle Assessment Data'!G88*D132,SUM('Life Cycle Assessment Data'!G83,'Life Cycle Assessment Data'!G88)*D132)</f>
        <v>0</v>
      </c>
      <c r="H159" s="226">
        <f>IF(bio_production_cost="no",'Life Cycle Assessment Data'!H88*E132,SUM('Life Cycle Assessment Data'!H83,'Life Cycle Assessment Data'!H88)*E132)</f>
        <v>0</v>
      </c>
      <c r="I159" s="226">
        <f>IF(bio_production_cost="no",'Life Cycle Assessment Data'!I88*F132,SUM('Life Cycle Assessment Data'!I83,'Life Cycle Assessment Data'!I88)*F132)</f>
        <v>0</v>
      </c>
      <c r="J159" s="226">
        <f>IF(bio_production_cost="no",'Life Cycle Assessment Data'!J88*G132,SUM('Life Cycle Assessment Data'!J83,'Life Cycle Assessment Data'!J88)*G132)</f>
        <v>0</v>
      </c>
      <c r="K159" s="226">
        <f>IF(bio_production_cost="no",'Life Cycle Assessment Data'!K88*H132,SUM('Life Cycle Assessment Data'!K83,'Life Cycle Assessment Data'!K88)*H132)</f>
        <v>0</v>
      </c>
      <c r="L159" s="226">
        <f>IF(bio_production_cost="no",'Life Cycle Assessment Data'!L88*I132,SUM('Life Cycle Assessment Data'!L83,'Life Cycle Assessment Data'!L88)*I132)</f>
        <v>0</v>
      </c>
      <c r="M159" s="226">
        <f>IF(bio_production_cost="no",'Life Cycle Assessment Data'!M88*J132,SUM('Life Cycle Assessment Data'!M83,'Life Cycle Assessment Data'!M88)*J132)</f>
        <v>0</v>
      </c>
      <c r="N159" s="226">
        <f>IF(bio_production_cost="no",'Life Cycle Assessment Data'!N88*K132,SUM('Life Cycle Assessment Data'!N83,'Life Cycle Assessment Data'!N88)*K132)</f>
        <v>0</v>
      </c>
      <c r="O159" s="226">
        <f>IF(bio_production_cost="no",'Life Cycle Assessment Data'!O88*L132,SUM('Life Cycle Assessment Data'!O83,'Life Cycle Assessment Data'!O88)*L132)</f>
        <v>0</v>
      </c>
      <c r="P159" s="226">
        <f>IF(bio_production_cost="no",'Life Cycle Assessment Data'!P88*M132,SUM('Life Cycle Assessment Data'!P83,'Life Cycle Assessment Data'!P88)*M132)</f>
        <v>0</v>
      </c>
      <c r="Q159" s="226">
        <f>IF(bio_production_cost="no",'Life Cycle Assessment Data'!Q88*N132,SUM('Life Cycle Assessment Data'!Q83,'Life Cycle Assessment Data'!Q88)*N132)</f>
        <v>0</v>
      </c>
      <c r="R159" s="226">
        <f>IF(bio_production_cost="no",'Life Cycle Assessment Data'!R88*O132,SUM('Life Cycle Assessment Data'!R83,'Life Cycle Assessment Data'!R88)*O132)</f>
        <v>0</v>
      </c>
      <c r="S159" s="226">
        <f>IF(bio_production_cost="no",'Life Cycle Assessment Data'!S88*P132,SUM('Life Cycle Assessment Data'!S83,'Life Cycle Assessment Data'!S88)*P132)</f>
        <v>0</v>
      </c>
      <c r="T159" s="226">
        <f>IF(bio_production_cost="no",'Life Cycle Assessment Data'!T88*Q132,SUM('Life Cycle Assessment Data'!T83,'Life Cycle Assessment Data'!T88)*Q132)</f>
        <v>0</v>
      </c>
      <c r="U159" s="226">
        <f>IF(bio_production_cost="no",'Life Cycle Assessment Data'!U88*R132,SUM('Life Cycle Assessment Data'!U83,'Life Cycle Assessment Data'!U88)*R132)</f>
        <v>0</v>
      </c>
      <c r="V159" s="226">
        <f>IF(bio_production_cost="no",'Life Cycle Assessment Data'!V88*S132,SUM('Life Cycle Assessment Data'!V83,'Life Cycle Assessment Data'!V88)*S132)</f>
        <v>0</v>
      </c>
      <c r="W159" s="226">
        <f>IF(bio_production_cost="no",'Life Cycle Assessment Data'!W88*T132,SUM('Life Cycle Assessment Data'!W83,'Life Cycle Assessment Data'!W88)*T132)</f>
        <v>0</v>
      </c>
      <c r="X159" s="226">
        <f>IF(bio_production_cost="no",'Life Cycle Assessment Data'!X88*U132,SUM('Life Cycle Assessment Data'!X83,'Life Cycle Assessment Data'!X88)*U132)</f>
        <v>0</v>
      </c>
      <c r="Y159" s="226">
        <f>IF(bio_production_cost="no",'Life Cycle Assessment Data'!Y88*V132,SUM('Life Cycle Assessment Data'!Y83,'Life Cycle Assessment Data'!Y88)*V132)</f>
        <v>0</v>
      </c>
      <c r="Z159" s="226">
        <f>IF(bio_production_cost="no",'Life Cycle Assessment Data'!Z88*W132,SUM('Life Cycle Assessment Data'!Z83,'Life Cycle Assessment Data'!Z88)*W132)</f>
        <v>0</v>
      </c>
      <c r="AA159" s="226">
        <f>IF(bio_production_cost="no",'Life Cycle Assessment Data'!AA88*X132,SUM('Life Cycle Assessment Data'!AA83,'Life Cycle Assessment Data'!AA88)*X132)</f>
        <v>0</v>
      </c>
      <c r="AB159" s="226">
        <f>IF(bio_production_cost="no",'Life Cycle Assessment Data'!AB88*Y132,SUM('Life Cycle Assessment Data'!AB83,'Life Cycle Assessment Data'!AB88)*Y132)</f>
        <v>0</v>
      </c>
      <c r="AC159" s="226">
        <f>IF(bio_production_cost="no",'Life Cycle Assessment Data'!AC88*Z132,SUM('Life Cycle Assessment Data'!AC83,'Life Cycle Assessment Data'!AC88)*Z132)</f>
        <v>0</v>
      </c>
      <c r="AD159" s="226">
        <f>IF(bio_production_cost="no",'Life Cycle Assessment Data'!AD88*AA132,SUM('Life Cycle Assessment Data'!AD83,'Life Cycle Assessment Data'!AD88)*AA132)</f>
        <v>0</v>
      </c>
      <c r="AE159" s="226">
        <f>IF(bio_production_cost="no",'Life Cycle Assessment Data'!AE88*AB132,SUM('Life Cycle Assessment Data'!AE83,'Life Cycle Assessment Data'!AE88)*AB132)</f>
        <v>0</v>
      </c>
      <c r="AF159" s="226">
        <f>IF(bio_production_cost="no",'Life Cycle Assessment Data'!AF88*AC132,SUM('Life Cycle Assessment Data'!AF83,'Life Cycle Assessment Data'!AF88)*AC132)</f>
        <v>0</v>
      </c>
      <c r="AG159" s="226">
        <f>IF(bio_production_cost="no",'Life Cycle Assessment Data'!AG88*AD132,SUM('Life Cycle Assessment Data'!AG83,'Life Cycle Assessment Data'!AG88)*AD132)</f>
        <v>0</v>
      </c>
      <c r="AH159" s="226">
        <f>IF(bio_production_cost="no",'Life Cycle Assessment Data'!AH88*AE132,SUM('Life Cycle Assessment Data'!AH83,'Life Cycle Assessment Data'!AH88)*AE132)</f>
        <v>0</v>
      </c>
      <c r="AI159" s="226">
        <f>IF(bio_production_cost="no",'Life Cycle Assessment Data'!AI88*AF132,SUM('Life Cycle Assessment Data'!AI83,'Life Cycle Assessment Data'!AI88)*AF132)</f>
        <v>0</v>
      </c>
      <c r="AJ159" s="226">
        <f>IF(bio_production_cost="no",'Life Cycle Assessment Data'!AJ88*AG132,SUM('Life Cycle Assessment Data'!AJ83,'Life Cycle Assessment Data'!AJ88)*AG132)</f>
        <v>0</v>
      </c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s="30" customFormat="1" outlineLevel="1" x14ac:dyDescent="0.25">
      <c r="A160"/>
      <c r="B160" s="163" t="s">
        <v>194</v>
      </c>
      <c r="C160" s="215"/>
      <c r="D160" s="215"/>
      <c r="E160" s="215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  <c r="U160" s="164"/>
      <c r="V160" s="164"/>
      <c r="W160" s="164"/>
      <c r="X160" s="164"/>
      <c r="Y160" s="164"/>
      <c r="Z160" s="164"/>
      <c r="AA160" s="164"/>
      <c r="AB160" s="164"/>
      <c r="AC160" s="164"/>
      <c r="AD160" s="164"/>
      <c r="AE160" s="164"/>
      <c r="AF160" s="164"/>
      <c r="AG160" s="164"/>
      <c r="AH160" s="164"/>
      <c r="AI160" s="164"/>
      <c r="AJ160" s="164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s="30" customFormat="1" outlineLevel="1" x14ac:dyDescent="0.25">
      <c r="A161"/>
      <c r="B161" s="15" t="s">
        <v>190</v>
      </c>
      <c r="C161" s="117">
        <f>IF(embedded_emissions_cost="no",0,'Life Cycle Assessment Data'!C107+'Life Cycle Assessment Data'!C108)</f>
        <v>7.9175799999999999E-7</v>
      </c>
      <c r="D161" s="117">
        <f>IF(embedded_emissions_cost="no",0,'Life Cycle Assessment Data'!D107+'Life Cycle Assessment Data'!D108)</f>
        <v>7.9175799999999999E-7</v>
      </c>
      <c r="E161" s="117">
        <f>IF(embedded_emissions_cost="no",0,'Life Cycle Assessment Data'!E107+'Life Cycle Assessment Data'!E108)</f>
        <v>8.5132599999999998E-7</v>
      </c>
      <c r="F161" s="117">
        <f>IF(embedded_emissions_cost="no",0,'Life Cycle Assessment Data'!F107+'Life Cycle Assessment Data'!F108)</f>
        <v>0</v>
      </c>
      <c r="G161" s="117">
        <f>IF(embedded_emissions_cost="no",0,'Life Cycle Assessment Data'!G107+'Life Cycle Assessment Data'!G108)</f>
        <v>0</v>
      </c>
      <c r="H161" s="117">
        <f>IF(embedded_emissions_cost="no",0,'Life Cycle Assessment Data'!H107+'Life Cycle Assessment Data'!H108)</f>
        <v>0</v>
      </c>
      <c r="I161" s="117">
        <f>IF(embedded_emissions_cost="no",0,'Life Cycle Assessment Data'!I107+'Life Cycle Assessment Data'!I108)</f>
        <v>0</v>
      </c>
      <c r="J161" s="117">
        <f>IF(embedded_emissions_cost="no",0,'Life Cycle Assessment Data'!J107+'Life Cycle Assessment Data'!J108)</f>
        <v>0</v>
      </c>
      <c r="K161" s="117">
        <f>IF(embedded_emissions_cost="no",0,'Life Cycle Assessment Data'!K107+'Life Cycle Assessment Data'!K108)</f>
        <v>0</v>
      </c>
      <c r="L161" s="117">
        <f>IF(embedded_emissions_cost="no",0,'Life Cycle Assessment Data'!L107+'Life Cycle Assessment Data'!L108)</f>
        <v>0</v>
      </c>
      <c r="M161" s="117">
        <f>IF(embedded_emissions_cost="no",0,'Life Cycle Assessment Data'!M107+'Life Cycle Assessment Data'!M108)</f>
        <v>0</v>
      </c>
      <c r="N161" s="117">
        <f>IF(embedded_emissions_cost="no",0,'Life Cycle Assessment Data'!N107+'Life Cycle Assessment Data'!N108)</f>
        <v>0</v>
      </c>
      <c r="O161" s="117">
        <f>IF(embedded_emissions_cost="no",0,'Life Cycle Assessment Data'!O107+'Life Cycle Assessment Data'!O108)</f>
        <v>0</v>
      </c>
      <c r="P161" s="117">
        <f>IF(embedded_emissions_cost="no",0,'Life Cycle Assessment Data'!P107+'Life Cycle Assessment Data'!P108)</f>
        <v>0</v>
      </c>
      <c r="Q161" s="117">
        <f>IF(embedded_emissions_cost="no",0,'Life Cycle Assessment Data'!Q107+'Life Cycle Assessment Data'!Q108)</f>
        <v>0</v>
      </c>
      <c r="R161" s="117">
        <f>IF(embedded_emissions_cost="no",0,'Life Cycle Assessment Data'!R107+'Life Cycle Assessment Data'!R108)</f>
        <v>0</v>
      </c>
      <c r="S161" s="117">
        <f>IF(embedded_emissions_cost="no",0,'Life Cycle Assessment Data'!S107+'Life Cycle Assessment Data'!S108)</f>
        <v>0</v>
      </c>
      <c r="T161" s="117">
        <f>IF(embedded_emissions_cost="no",0,'Life Cycle Assessment Data'!T107+'Life Cycle Assessment Data'!T108)</f>
        <v>0</v>
      </c>
      <c r="U161" s="117">
        <f>IF(embedded_emissions_cost="no",0,'Life Cycle Assessment Data'!U107+'Life Cycle Assessment Data'!U108)</f>
        <v>0</v>
      </c>
      <c r="V161" s="117">
        <f>IF(embedded_emissions_cost="no",0,'Life Cycle Assessment Data'!V107+'Life Cycle Assessment Data'!V108)</f>
        <v>0</v>
      </c>
      <c r="W161" s="117">
        <f>IF(embedded_emissions_cost="no",0,'Life Cycle Assessment Data'!W107+'Life Cycle Assessment Data'!W108)</f>
        <v>0</v>
      </c>
      <c r="X161" s="117">
        <f>IF(embedded_emissions_cost="no",0,'Life Cycle Assessment Data'!X107+'Life Cycle Assessment Data'!X108)</f>
        <v>0</v>
      </c>
      <c r="Y161" s="117">
        <f>IF(embedded_emissions_cost="no",0,'Life Cycle Assessment Data'!Y107+'Life Cycle Assessment Data'!Y108)</f>
        <v>0</v>
      </c>
      <c r="Z161" s="117">
        <f>IF(embedded_emissions_cost="no",0,'Life Cycle Assessment Data'!Z107+'Life Cycle Assessment Data'!Z108)</f>
        <v>0</v>
      </c>
      <c r="AA161" s="117">
        <f>IF(embedded_emissions_cost="no",0,'Life Cycle Assessment Data'!AA107+'Life Cycle Assessment Data'!AA108)</f>
        <v>0</v>
      </c>
      <c r="AB161" s="117">
        <f>IF(embedded_emissions_cost="no",0,'Life Cycle Assessment Data'!AB107+'Life Cycle Assessment Data'!AB108)</f>
        <v>0</v>
      </c>
      <c r="AC161" s="117">
        <f>IF(embedded_emissions_cost="no",0,'Life Cycle Assessment Data'!AC107+'Life Cycle Assessment Data'!AC108)</f>
        <v>0</v>
      </c>
      <c r="AD161" s="117">
        <f>IF(embedded_emissions_cost="no",0,'Life Cycle Assessment Data'!AD107+'Life Cycle Assessment Data'!AD108)</f>
        <v>0</v>
      </c>
      <c r="AE161" s="117">
        <f>IF(embedded_emissions_cost="no",0,'Life Cycle Assessment Data'!AE107+'Life Cycle Assessment Data'!AE108)</f>
        <v>0</v>
      </c>
      <c r="AF161" s="117">
        <f>IF(embedded_emissions_cost="no",0,'Life Cycle Assessment Data'!AF107+'Life Cycle Assessment Data'!AF108)</f>
        <v>0</v>
      </c>
      <c r="AG161" s="117">
        <f>IF(embedded_emissions_cost="no",0,'Life Cycle Assessment Data'!AG107+'Life Cycle Assessment Data'!AG108)</f>
        <v>0</v>
      </c>
      <c r="AH161" s="117">
        <f>IF(embedded_emissions_cost="no",0,'Life Cycle Assessment Data'!AH107+'Life Cycle Assessment Data'!AH108)</f>
        <v>0</v>
      </c>
      <c r="AI161" s="117">
        <f>IF(embedded_emissions_cost="no",0,'Life Cycle Assessment Data'!AI107+'Life Cycle Assessment Data'!AI108)</f>
        <v>0</v>
      </c>
      <c r="AJ161" s="117">
        <f>IF(OR(embedded_emissions_cost="no",pathway="shutdown")=TRUE,0,'Life Cycle Assessment Data'!AJ107+'Life Cycle Assessment Data'!AJ108)</f>
        <v>5.9567999999999994E-8</v>
      </c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s="30" customFormat="1" outlineLevel="1" x14ac:dyDescent="0.25">
      <c r="A162"/>
      <c r="B162" s="18" t="s">
        <v>191</v>
      </c>
      <c r="C162" s="117">
        <f>IF(embedded_emissions_cost="no",0,IF(OR(pathway="biogas ccs", pathway="normal ccs")=TRUE,SUM('Life Cycle Assessment Data'!C109:C110),0))</f>
        <v>0</v>
      </c>
      <c r="D162" s="117">
        <f>IF(embedded_emissions_cost="no",0,IF(OR(pathway="biogas ccs", pathway="normal ccs")=TRUE,SUM('Life Cycle Assessment Data'!D109:D110),0))</f>
        <v>0</v>
      </c>
      <c r="E162" s="117">
        <f>IF(embedded_emissions_cost="no",0,IF(OR(pathway="biogas ccs", pathway="normal ccs")=TRUE,SUM('Life Cycle Assessment Data'!E109:E110),0))</f>
        <v>0</v>
      </c>
      <c r="F162" s="117">
        <f>IF(embedded_emissions_cost="no",0,IF(OR(pathway="biogas ccs", pathway="normal ccs")=TRUE,SUM('Life Cycle Assessment Data'!F109:F110),0))</f>
        <v>0</v>
      </c>
      <c r="G162" s="117">
        <f>IF(embedded_emissions_cost="no",0,IF(OR(pathway="biogas ccs", pathway="normal ccs")=TRUE,SUM('Life Cycle Assessment Data'!G109:G110),0))</f>
        <v>0</v>
      </c>
      <c r="H162" s="117">
        <f>IF(embedded_emissions_cost="no",0,IF(OR(pathway="biogas ccs", pathway="normal ccs")=TRUE,SUM('Life Cycle Assessment Data'!H109:H110),0))</f>
        <v>0</v>
      </c>
      <c r="I162" s="117">
        <f>IF(embedded_emissions_cost="no",0,IF(OR(pathway="biogas ccs", pathway="normal ccs")=TRUE,SUM('Life Cycle Assessment Data'!I109:I110),0))</f>
        <v>0</v>
      </c>
      <c r="J162" s="117">
        <f>IF(embedded_emissions_cost="no",0,IF(OR(pathway="biogas ccs", pathway="normal ccs")=TRUE,SUM('Life Cycle Assessment Data'!J109:J110),0))</f>
        <v>0</v>
      </c>
      <c r="K162" s="117">
        <f>IF(embedded_emissions_cost="no",0,IF(OR(pathway="biogas ccs", pathway="normal ccs")=TRUE,SUM('Life Cycle Assessment Data'!K109:K110),0))</f>
        <v>0</v>
      </c>
      <c r="L162" s="117">
        <f>IF(embedded_emissions_cost="no",0,IF(OR(pathway="biogas ccs", pathway="normal ccs")=TRUE,SUM('Life Cycle Assessment Data'!L109:L110),0))</f>
        <v>0</v>
      </c>
      <c r="M162" s="117">
        <f>IF(embedded_emissions_cost="no",0,IF(OR(pathway="biogas ccs", pathway="normal ccs")=TRUE,SUM('Life Cycle Assessment Data'!M109:M110),0))</f>
        <v>0</v>
      </c>
      <c r="N162" s="117">
        <f>IF(embedded_emissions_cost="no",0,IF(OR(pathway="biogas ccs", pathway="normal ccs")=TRUE,SUM('Life Cycle Assessment Data'!N109:N110),0))</f>
        <v>0</v>
      </c>
      <c r="O162" s="117">
        <f>IF(embedded_emissions_cost="no",0,IF(OR(pathway="biogas ccs", pathway="normal ccs")=TRUE,SUM('Life Cycle Assessment Data'!O109:O110),0))</f>
        <v>0</v>
      </c>
      <c r="P162" s="117">
        <f>IF(embedded_emissions_cost="no",0,IF(OR(pathway="biogas ccs", pathway="normal ccs")=TRUE,SUM('Life Cycle Assessment Data'!P109:P110),0))</f>
        <v>0</v>
      </c>
      <c r="Q162" s="117">
        <f>IF(embedded_emissions_cost="no",0,IF(OR(pathway="biogas ccs", pathway="normal ccs")=TRUE,SUM('Life Cycle Assessment Data'!Q109:Q110),0))</f>
        <v>0</v>
      </c>
      <c r="R162" s="117">
        <f>IF(embedded_emissions_cost="no",0,IF(OR(pathway="biogas ccs", pathway="normal ccs")=TRUE,SUM('Life Cycle Assessment Data'!R109:R110),0))</f>
        <v>0</v>
      </c>
      <c r="S162" s="117">
        <f>IF(embedded_emissions_cost="no",0,IF(OR(pathway="biogas ccs", pathway="normal ccs")=TRUE,SUM('Life Cycle Assessment Data'!S109:S110),0))</f>
        <v>0</v>
      </c>
      <c r="T162" s="117">
        <f>IF(embedded_emissions_cost="no",0,IF(OR(pathway="biogas ccs", pathway="normal ccs")=TRUE,SUM('Life Cycle Assessment Data'!T109:T110),0))</f>
        <v>0</v>
      </c>
      <c r="U162" s="117">
        <f>IF(embedded_emissions_cost="no",0,IF(OR(pathway="biogas ccs", pathway="normal ccs")=TRUE,SUM('Life Cycle Assessment Data'!U109:U110),0))</f>
        <v>0</v>
      </c>
      <c r="V162" s="117">
        <f>IF(embedded_emissions_cost="no",0,IF(OR(pathway="biogas ccs", pathway="normal ccs")=TRUE,SUM('Life Cycle Assessment Data'!V109:V110),0))</f>
        <v>0</v>
      </c>
      <c r="W162" s="117">
        <f>IF(embedded_emissions_cost="no",0,IF(OR(pathway="biogas ccs", pathway="normal ccs")=TRUE,SUM('Life Cycle Assessment Data'!W109:W110),0))</f>
        <v>0</v>
      </c>
      <c r="X162" s="117">
        <f>IF(embedded_emissions_cost="no",0,IF(OR(pathway="biogas ccs", pathway="normal ccs")=TRUE,SUM('Life Cycle Assessment Data'!X109:X110),0))</f>
        <v>0</v>
      </c>
      <c r="Y162" s="117">
        <f>IF(embedded_emissions_cost="no",0,IF(OR(pathway="biogas ccs", pathway="normal ccs")=TRUE,SUM('Life Cycle Assessment Data'!Y109:Y110),0))</f>
        <v>0</v>
      </c>
      <c r="Z162" s="117">
        <f>IF(embedded_emissions_cost="no",0,IF(OR(pathway="biogas ccs", pathway="normal ccs")=TRUE,SUM('Life Cycle Assessment Data'!Z109:Z110),0))</f>
        <v>0</v>
      </c>
      <c r="AA162" s="117">
        <f>IF(embedded_emissions_cost="no",0,IF(OR(pathway="biogas ccs", pathway="normal ccs")=TRUE,SUM('Life Cycle Assessment Data'!AA109:AA110),0))</f>
        <v>0</v>
      </c>
      <c r="AB162" s="117">
        <f>IF(embedded_emissions_cost="no",0,IF(OR(pathway="biogas ccs", pathway="normal ccs")=TRUE,SUM('Life Cycle Assessment Data'!AB109:AB110),0))</f>
        <v>0</v>
      </c>
      <c r="AC162" s="117">
        <f>IF(embedded_emissions_cost="no",0,IF(OR(pathway="biogas ccs", pathway="normal ccs")=TRUE,SUM('Life Cycle Assessment Data'!AC109:AC110),0))</f>
        <v>0</v>
      </c>
      <c r="AD162" s="117">
        <f>IF(embedded_emissions_cost="no",0,IF(OR(pathway="biogas ccs", pathway="normal ccs")=TRUE,SUM('Life Cycle Assessment Data'!AD109:AD110),0))</f>
        <v>0</v>
      </c>
      <c r="AE162" s="117">
        <f>IF(embedded_emissions_cost="no",0,IF(OR(pathway="biogas ccs", pathway="normal ccs")=TRUE,SUM('Life Cycle Assessment Data'!AE109:AE110),0))</f>
        <v>0</v>
      </c>
      <c r="AF162" s="117">
        <f>IF(embedded_emissions_cost="no",0,IF(OR(pathway="biogas ccs", pathway="normal ccs")=TRUE,SUM('Life Cycle Assessment Data'!AF109:AF110),0))</f>
        <v>0</v>
      </c>
      <c r="AG162" s="117">
        <f>IF(embedded_emissions_cost="no",0,IF(OR(pathway="biogas ccs", pathway="normal ccs")=TRUE,SUM('Life Cycle Assessment Data'!AG109:AG110),0))</f>
        <v>0</v>
      </c>
      <c r="AH162" s="117">
        <f>IF(embedded_emissions_cost="no",0,IF(OR(pathway="biogas ccs", pathway="normal ccs")=TRUE,SUM('Life Cycle Assessment Data'!AH109:AH110),0))</f>
        <v>0</v>
      </c>
      <c r="AI162" s="117">
        <f>IF(embedded_emissions_cost="no",0,IF(OR(pathway="biogas ccs", pathway="normal ccs")=TRUE,SUM('Life Cycle Assessment Data'!AI109:AI110),0))</f>
        <v>0</v>
      </c>
      <c r="AJ162" s="117">
        <f>IF(embedded_emissions_cost="no",0,IF(OR(pathway="biogas ccs", pathway="normal ccs")=TRUE,SUM('Life Cycle Assessment Data'!AJ109:AJ110),0))</f>
        <v>0</v>
      </c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s="30" customFormat="1" outlineLevel="1" x14ac:dyDescent="0.25">
      <c r="A163"/>
      <c r="B163" s="18" t="s">
        <v>192</v>
      </c>
      <c r="C163" s="117">
        <f>IF(AND(embedded_emissions_cost="yes",pathway="shutdown")=TRUE,'Life Cycle Assessment Data'!C111,0)</f>
        <v>0</v>
      </c>
      <c r="D163" s="117">
        <f>IF(AND(embedded_emissions_cost="yes",pathway="shutdown")=TRUE,'Life Cycle Assessment Data'!D111,0)</f>
        <v>0</v>
      </c>
      <c r="E163" s="117">
        <f>IF(AND(embedded_emissions_cost="yes",pathway="shutdown")=TRUE,'Life Cycle Assessment Data'!E111,0)</f>
        <v>0</v>
      </c>
      <c r="F163" s="117">
        <f>IF(AND(embedded_emissions_cost="yes",pathway="shutdown")=TRUE,'Life Cycle Assessment Data'!F111,0)</f>
        <v>0</v>
      </c>
      <c r="G163" s="117">
        <f>IF(AND(embedded_emissions_cost="yes",pathway="shutdown")=TRUE,'Life Cycle Assessment Data'!G111,0)</f>
        <v>0</v>
      </c>
      <c r="H163" s="117">
        <f>IF(AND(embedded_emissions_cost="yes",pathway="shutdown")=TRUE,'Life Cycle Assessment Data'!H111,0)</f>
        <v>0</v>
      </c>
      <c r="I163" s="117">
        <f>IF(AND(embedded_emissions_cost="yes",pathway="shutdown")=TRUE,'Life Cycle Assessment Data'!I111,0)</f>
        <v>0</v>
      </c>
      <c r="J163" s="117">
        <f>IF(AND(embedded_emissions_cost="yes",pathway="shutdown")=TRUE,'Life Cycle Assessment Data'!J111,0)</f>
        <v>0</v>
      </c>
      <c r="K163" s="117">
        <f>IF(AND(embedded_emissions_cost="yes",pathway="shutdown")=TRUE,'Life Cycle Assessment Data'!K111,0)</f>
        <v>0</v>
      </c>
      <c r="L163" s="117">
        <f>IF(AND(embedded_emissions_cost="yes",pathway="shutdown")=TRUE,'Life Cycle Assessment Data'!L111,0)</f>
        <v>0</v>
      </c>
      <c r="M163" s="117">
        <f>IF(AND(embedded_emissions_cost="yes",pathway="shutdown")=TRUE,'Life Cycle Assessment Data'!M111,0)</f>
        <v>0</v>
      </c>
      <c r="N163" s="117">
        <f>IF(AND(embedded_emissions_cost="yes",pathway="shutdown")=TRUE,'Life Cycle Assessment Data'!N111,0)</f>
        <v>0</v>
      </c>
      <c r="O163" s="117">
        <f>IF(AND(embedded_emissions_cost="yes",pathway="shutdown")=TRUE,'Life Cycle Assessment Data'!O111,0)</f>
        <v>0</v>
      </c>
      <c r="P163" s="117">
        <f>IF(AND(embedded_emissions_cost="yes",pathway="shutdown")=TRUE,'Life Cycle Assessment Data'!P111,0)</f>
        <v>0</v>
      </c>
      <c r="Q163" s="117">
        <f>IF(AND(embedded_emissions_cost="yes",pathway="shutdown")=TRUE,'Life Cycle Assessment Data'!Q111,0)</f>
        <v>0</v>
      </c>
      <c r="R163" s="117">
        <f>IF(AND(embedded_emissions_cost="yes",pathway="shutdown")=TRUE,'Life Cycle Assessment Data'!R111,0)</f>
        <v>0</v>
      </c>
      <c r="S163" s="117">
        <f>IF(AND(embedded_emissions_cost="yes",pathway="shutdown")=TRUE,'Life Cycle Assessment Data'!S111,0)</f>
        <v>0</v>
      </c>
      <c r="T163" s="117">
        <f>IF(AND(embedded_emissions_cost="yes",pathway="shutdown")=TRUE,'Life Cycle Assessment Data'!T111,0)</f>
        <v>0</v>
      </c>
      <c r="U163" s="117">
        <f>IF(AND(embedded_emissions_cost="yes",pathway="shutdown")=TRUE,'Life Cycle Assessment Data'!U111,0)</f>
        <v>0</v>
      </c>
      <c r="V163" s="117">
        <f>IF(AND(embedded_emissions_cost="yes",pathway="shutdown")=TRUE,'Life Cycle Assessment Data'!V111,0)</f>
        <v>0</v>
      </c>
      <c r="W163" s="117">
        <f>IF(AND(embedded_emissions_cost="yes",pathway="shutdown")=TRUE,'Life Cycle Assessment Data'!W111,0)</f>
        <v>0</v>
      </c>
      <c r="X163" s="117">
        <f>IF(AND(embedded_emissions_cost="yes",pathway="shutdown")=TRUE,'Life Cycle Assessment Data'!X111,0)</f>
        <v>0</v>
      </c>
      <c r="Y163" s="117">
        <f>IF(AND(embedded_emissions_cost="yes",pathway="shutdown")=TRUE,'Life Cycle Assessment Data'!Y111,0)</f>
        <v>0</v>
      </c>
      <c r="Z163" s="117">
        <f>IF(AND(embedded_emissions_cost="yes",pathway="shutdown")=TRUE,'Life Cycle Assessment Data'!Z111,0)</f>
        <v>0</v>
      </c>
      <c r="AA163" s="117">
        <f>IF(AND(embedded_emissions_cost="yes",pathway="shutdown")=TRUE,'Life Cycle Assessment Data'!AA111,0)</f>
        <v>0</v>
      </c>
      <c r="AB163" s="117">
        <f>IF(AND(embedded_emissions_cost="yes",pathway="shutdown")=TRUE,'Life Cycle Assessment Data'!AB111,0)</f>
        <v>0</v>
      </c>
      <c r="AC163" s="117">
        <f>IF(AND(embedded_emissions_cost="yes",pathway="shutdown")=TRUE,'Life Cycle Assessment Data'!AC111,0)</f>
        <v>0</v>
      </c>
      <c r="AD163" s="117">
        <f>IF(AND(embedded_emissions_cost="yes",pathway="shutdown")=TRUE,'Life Cycle Assessment Data'!AD111,0)</f>
        <v>0</v>
      </c>
      <c r="AE163" s="117">
        <f>IF(AND(embedded_emissions_cost="yes",pathway="shutdown")=TRUE,'Life Cycle Assessment Data'!AE111,0)</f>
        <v>0</v>
      </c>
      <c r="AF163" s="117">
        <f>IF(AND(embedded_emissions_cost="yes",pathway="shutdown")=TRUE,'Life Cycle Assessment Data'!AF111,0)</f>
        <v>0</v>
      </c>
      <c r="AG163" s="117">
        <f>IF(AND(embedded_emissions_cost="yes",pathway="shutdown")=TRUE,'Life Cycle Assessment Data'!AG111,0)</f>
        <v>0</v>
      </c>
      <c r="AH163" s="117">
        <f>IF(AND(embedded_emissions_cost="yes",pathway="shutdown")=TRUE,'Life Cycle Assessment Data'!AH111,0)</f>
        <v>0</v>
      </c>
      <c r="AI163" s="117">
        <f>IF(AND(embedded_emissions_cost="yes",pathway="shutdown")=TRUE,'Life Cycle Assessment Data'!AI111,0)</f>
        <v>0</v>
      </c>
      <c r="AJ163" s="117">
        <f>IF(AND(embedded_emissions_cost="yes",pathway="shutdown")=TRUE,'Life Cycle Assessment Data'!AJ111,0)</f>
        <v>0</v>
      </c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s="30" customFormat="1" outlineLevel="1" x14ac:dyDescent="0.25">
      <c r="A164"/>
      <c r="B164" s="18" t="s">
        <v>81</v>
      </c>
      <c r="C164" s="117">
        <v>0</v>
      </c>
      <c r="D164" s="117">
        <v>0</v>
      </c>
      <c r="E164" s="117">
        <v>0</v>
      </c>
      <c r="F164" s="226">
        <f>SUM(IF(ng_production_cost="yes",'Life Cycle Assessment Data'!F113*C128+IF(embedded_emissions_cost="yes",'Life Cycle Assessment Data'!F112,0)),IF(ng_combustion_cost="yes",'Life Cycle Assessment Data'!F118,0)*C128)</f>
        <v>1.5258916237918035E-2</v>
      </c>
      <c r="G164" s="226">
        <f>SUM(IF(ng_production_cost="yes",'Life Cycle Assessment Data'!G113*D128+IF(embedded_emissions_cost="yes",'Life Cycle Assessment Data'!G112,0)),IF(ng_combustion_cost="yes",'Life Cycle Assessment Data'!G118,0)*D128)</f>
        <v>1.5258916237918035E-2</v>
      </c>
      <c r="H164" s="226">
        <f>SUM(IF(ng_production_cost="yes",'Life Cycle Assessment Data'!H113*E128+IF(embedded_emissions_cost="yes",'Life Cycle Assessment Data'!H112,0)),IF(ng_combustion_cost="yes",'Life Cycle Assessment Data'!H118,0)*E128)</f>
        <v>1.5258916237918035E-2</v>
      </c>
      <c r="I164" s="226">
        <f>SUM(IF(ng_production_cost="yes",'Life Cycle Assessment Data'!I113*F128+IF(embedded_emissions_cost="yes",'Life Cycle Assessment Data'!I112,0)),IF(ng_combustion_cost="yes",'Life Cycle Assessment Data'!I118,0)*F128)</f>
        <v>1.5258916237918035E-2</v>
      </c>
      <c r="J164" s="226">
        <f>SUM(IF(ng_production_cost="yes",'Life Cycle Assessment Data'!J113*G128+IF(embedded_emissions_cost="yes",'Life Cycle Assessment Data'!J112,0)),IF(ng_combustion_cost="yes",'Life Cycle Assessment Data'!J118,0)*G128)</f>
        <v>1.5258916237918035E-2</v>
      </c>
      <c r="K164" s="226">
        <f>SUM(IF(ng_production_cost="yes",'Life Cycle Assessment Data'!K113*H128+IF(embedded_emissions_cost="yes",'Life Cycle Assessment Data'!K112,0)),IF(ng_combustion_cost="yes",'Life Cycle Assessment Data'!K118,0)*H128)</f>
        <v>1.5258916237918035E-2</v>
      </c>
      <c r="L164" s="226">
        <f>SUM(IF(ng_production_cost="yes",'Life Cycle Assessment Data'!L113*I128+IF(embedded_emissions_cost="yes",'Life Cycle Assessment Data'!L112,0)),IF(ng_combustion_cost="yes",'Life Cycle Assessment Data'!L118,0)*I128)</f>
        <v>1.5258916237918035E-2</v>
      </c>
      <c r="M164" s="226">
        <f>SUM(IF(ng_production_cost="yes",'Life Cycle Assessment Data'!M113*J128+IF(embedded_emissions_cost="yes",'Life Cycle Assessment Data'!M112,0)),IF(ng_combustion_cost="yes",'Life Cycle Assessment Data'!M118,0)*J128)</f>
        <v>1.5258916237918035E-2</v>
      </c>
      <c r="N164" s="226">
        <f>SUM(IF(ng_production_cost="yes",'Life Cycle Assessment Data'!N113*K128+IF(embedded_emissions_cost="yes",'Life Cycle Assessment Data'!N112,0)),IF(ng_combustion_cost="yes",'Life Cycle Assessment Data'!N118,0)*K128)</f>
        <v>1.5258916237918035E-2</v>
      </c>
      <c r="O164" s="226">
        <f>SUM(IF(ng_production_cost="yes",'Life Cycle Assessment Data'!O113*L128+IF(embedded_emissions_cost="yes",'Life Cycle Assessment Data'!O112,0)),IF(ng_combustion_cost="yes",'Life Cycle Assessment Data'!O118,0)*L128)</f>
        <v>1.5258916237918035E-2</v>
      </c>
      <c r="P164" s="226">
        <f>SUM(IF(ng_production_cost="yes",'Life Cycle Assessment Data'!P113*M128+IF(embedded_emissions_cost="yes",'Life Cycle Assessment Data'!P112,0)),IF(ng_combustion_cost="yes",'Life Cycle Assessment Data'!P118,0)*M128)</f>
        <v>1.5258916237918035E-2</v>
      </c>
      <c r="Q164" s="226">
        <f>SUM(IF(ng_production_cost="yes",'Life Cycle Assessment Data'!Q113*N128+IF(embedded_emissions_cost="yes",'Life Cycle Assessment Data'!Q112,0)),IF(ng_combustion_cost="yes",'Life Cycle Assessment Data'!Q118,0)*N128)</f>
        <v>1.5258916237918035E-2</v>
      </c>
      <c r="R164" s="226">
        <f>SUM(IF(ng_production_cost="yes",'Life Cycle Assessment Data'!R113*O128+IF(embedded_emissions_cost="yes",'Life Cycle Assessment Data'!R112,0)),IF(ng_combustion_cost="yes",'Life Cycle Assessment Data'!R118,0)*O128)</f>
        <v>1.5258916237918035E-2</v>
      </c>
      <c r="S164" s="226">
        <f>SUM(IF(ng_production_cost="yes",'Life Cycle Assessment Data'!S113*P128+IF(embedded_emissions_cost="yes",'Life Cycle Assessment Data'!S112,0)),IF(ng_combustion_cost="yes",'Life Cycle Assessment Data'!S118,0)*P128)</f>
        <v>1.5258916237918035E-2</v>
      </c>
      <c r="T164" s="226">
        <f>SUM(IF(ng_production_cost="yes",'Life Cycle Assessment Data'!T113*Q128+IF(embedded_emissions_cost="yes",'Life Cycle Assessment Data'!T112,0)),IF(ng_combustion_cost="yes",'Life Cycle Assessment Data'!T118,0)*Q128)</f>
        <v>1.5258916237918035E-2</v>
      </c>
      <c r="U164" s="226">
        <f>SUM(IF(ng_production_cost="yes",'Life Cycle Assessment Data'!U113*R128+IF(embedded_emissions_cost="yes",'Life Cycle Assessment Data'!U112,0)),IF(ng_combustion_cost="yes",'Life Cycle Assessment Data'!U118,0)*R128)</f>
        <v>1.5258916237918035E-2</v>
      </c>
      <c r="V164" s="226">
        <f>SUM(IF(ng_production_cost="yes",'Life Cycle Assessment Data'!V113*S128+IF(embedded_emissions_cost="yes",'Life Cycle Assessment Data'!V112,0)),IF(ng_combustion_cost="yes",'Life Cycle Assessment Data'!V118,0)*S128)</f>
        <v>1.5258916237918035E-2</v>
      </c>
      <c r="W164" s="226">
        <f>SUM(IF(ng_production_cost="yes",'Life Cycle Assessment Data'!W113*T128+IF(embedded_emissions_cost="yes",'Life Cycle Assessment Data'!W112,0)),IF(ng_combustion_cost="yes",'Life Cycle Assessment Data'!W118,0)*T128)</f>
        <v>1.5258916237918035E-2</v>
      </c>
      <c r="X164" s="226">
        <f>SUM(IF(ng_production_cost="yes",'Life Cycle Assessment Data'!X113*U128+IF(embedded_emissions_cost="yes",'Life Cycle Assessment Data'!X112,0)),IF(ng_combustion_cost="yes",'Life Cycle Assessment Data'!X118,0)*U128)</f>
        <v>1.5258916237918035E-2</v>
      </c>
      <c r="Y164" s="226">
        <f>SUM(IF(ng_production_cost="yes",'Life Cycle Assessment Data'!Y113*V128+IF(embedded_emissions_cost="yes",'Life Cycle Assessment Data'!Y112,0)),IF(ng_combustion_cost="yes",'Life Cycle Assessment Data'!Y118,0)*V128)</f>
        <v>1.5258916237918035E-2</v>
      </c>
      <c r="Z164" s="226">
        <f>SUM(IF(ng_production_cost="yes",'Life Cycle Assessment Data'!Z113*W128+IF(embedded_emissions_cost="yes",'Life Cycle Assessment Data'!Z112,0)),IF(ng_combustion_cost="yes",'Life Cycle Assessment Data'!Z118,0)*W128)</f>
        <v>1.5258916237918035E-2</v>
      </c>
      <c r="AA164" s="226">
        <f>SUM(IF(ng_production_cost="yes",'Life Cycle Assessment Data'!AA113*X128+IF(embedded_emissions_cost="yes",'Life Cycle Assessment Data'!AA112,0)),IF(ng_combustion_cost="yes",'Life Cycle Assessment Data'!AA118,0)*X128)</f>
        <v>1.5258916237918035E-2</v>
      </c>
      <c r="AB164" s="226">
        <f>SUM(IF(ng_production_cost="yes",'Life Cycle Assessment Data'!AB113*Y128+IF(embedded_emissions_cost="yes",'Life Cycle Assessment Data'!AB112,0)),IF(ng_combustion_cost="yes",'Life Cycle Assessment Data'!AB118,0)*Y128)</f>
        <v>1.5258916237918035E-2</v>
      </c>
      <c r="AC164" s="226">
        <f>SUM(IF(ng_production_cost="yes",'Life Cycle Assessment Data'!AC113*Z128+IF(embedded_emissions_cost="yes",'Life Cycle Assessment Data'!AC112,0)),IF(ng_combustion_cost="yes",'Life Cycle Assessment Data'!AC118,0)*Z128)</f>
        <v>1.5258916237918035E-2</v>
      </c>
      <c r="AD164" s="226">
        <f>SUM(IF(ng_production_cost="yes",'Life Cycle Assessment Data'!AD113*AA128+IF(embedded_emissions_cost="yes",'Life Cycle Assessment Data'!AD112,0)),IF(ng_combustion_cost="yes",'Life Cycle Assessment Data'!AD118,0)*AA128)</f>
        <v>1.5258916237918035E-2</v>
      </c>
      <c r="AE164" s="226">
        <f>SUM(IF(ng_production_cost="yes",'Life Cycle Assessment Data'!AE113*AB128+IF(embedded_emissions_cost="yes",'Life Cycle Assessment Data'!AE112,0)),IF(ng_combustion_cost="yes",'Life Cycle Assessment Data'!AE118,0)*AB128)</f>
        <v>1.5258916237918035E-2</v>
      </c>
      <c r="AF164" s="226">
        <f>SUM(IF(ng_production_cost="yes",'Life Cycle Assessment Data'!AF113*AC128+IF(embedded_emissions_cost="yes",'Life Cycle Assessment Data'!AF112,0)),IF(ng_combustion_cost="yes",'Life Cycle Assessment Data'!AF118,0)*AC128)</f>
        <v>1.5258916237918035E-2</v>
      </c>
      <c r="AG164" s="226">
        <f>SUM(IF(ng_production_cost="yes",'Life Cycle Assessment Data'!AG113*AD128+IF(embedded_emissions_cost="yes",'Life Cycle Assessment Data'!AG112,0)),IF(ng_combustion_cost="yes",'Life Cycle Assessment Data'!AG118,0)*AD128)</f>
        <v>1.5258916237918035E-2</v>
      </c>
      <c r="AH164" s="226">
        <f>SUM(IF(ng_production_cost="yes",'Life Cycle Assessment Data'!AH113*AE128+IF(embedded_emissions_cost="yes",'Life Cycle Assessment Data'!AH112,0)),IF(ng_combustion_cost="yes",'Life Cycle Assessment Data'!AH118,0)*AE128)</f>
        <v>1.5258916237918035E-2</v>
      </c>
      <c r="AI164" s="226">
        <f>SUM(IF(ng_production_cost="yes",'Life Cycle Assessment Data'!AI113*AF128+IF(embedded_emissions_cost="yes",'Life Cycle Assessment Data'!AI112,0)),IF(ng_combustion_cost="yes",'Life Cycle Assessment Data'!AI118,0)*AF128)</f>
        <v>1.5258916237918035E-2</v>
      </c>
      <c r="AJ164" s="226">
        <f>SUM(IF(ng_production_cost="yes",'Life Cycle Assessment Data'!AJ113*AG128+IF(embedded_emissions_cost="yes",'Life Cycle Assessment Data'!AJ112,0)),IF(ng_combustion_cost="yes",'Life Cycle Assessment Data'!AJ118,0)*AG128)</f>
        <v>1.5258916237918035E-2</v>
      </c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s="30" customFormat="1" outlineLevel="1" x14ac:dyDescent="0.25">
      <c r="A165"/>
      <c r="B165" s="15" t="s">
        <v>82</v>
      </c>
      <c r="C165" s="117">
        <v>0</v>
      </c>
      <c r="D165" s="117">
        <v>0</v>
      </c>
      <c r="E165" s="117">
        <v>0</v>
      </c>
      <c r="F165" s="226">
        <f>SUM(IF(ng_production_cost="yes",'Life Cycle Assessment Data'!F115*C129+IF(embedded_emissions_cost="yes",'Life Cycle Assessment Data'!F114,0)),IF(ng_combustion_cost="yes",'Life Cycle Assessment Data'!F119,0)*C129)</f>
        <v>6.3954527234667971E-10</v>
      </c>
      <c r="G165" s="226">
        <f>SUM(IF(ng_production_cost="yes",'Life Cycle Assessment Data'!G115*D129+IF(embedded_emissions_cost="yes",'Life Cycle Assessment Data'!G114,0)),IF(ng_combustion_cost="yes",'Life Cycle Assessment Data'!G119,0)*D129)</f>
        <v>6.3954527234667971E-10</v>
      </c>
      <c r="H165" s="226">
        <f>SUM(IF(ng_production_cost="yes",'Life Cycle Assessment Data'!H115*E129+IF(embedded_emissions_cost="yes",'Life Cycle Assessment Data'!H114,0)),IF(ng_combustion_cost="yes",'Life Cycle Assessment Data'!H119,0)*E129)</f>
        <v>6.3954527234667971E-10</v>
      </c>
      <c r="I165" s="226">
        <f>SUM(IF(ng_production_cost="yes",'Life Cycle Assessment Data'!I115*F129+IF(embedded_emissions_cost="yes",'Life Cycle Assessment Data'!I114,0)),IF(ng_combustion_cost="yes",'Life Cycle Assessment Data'!I119,0)*F129)</f>
        <v>6.3954527234667971E-10</v>
      </c>
      <c r="J165" s="226">
        <f>SUM(IF(ng_production_cost="yes",'Life Cycle Assessment Data'!J115*G129+IF(embedded_emissions_cost="yes",'Life Cycle Assessment Data'!J114,0)),IF(ng_combustion_cost="yes",'Life Cycle Assessment Data'!J119,0)*G129)</f>
        <v>6.3954527234667971E-10</v>
      </c>
      <c r="K165" s="226">
        <f>SUM(IF(ng_production_cost="yes",'Life Cycle Assessment Data'!K115*H129+IF(embedded_emissions_cost="yes",'Life Cycle Assessment Data'!K114,0)),IF(ng_combustion_cost="yes",'Life Cycle Assessment Data'!K119,0)*H129)</f>
        <v>6.3954527234667971E-10</v>
      </c>
      <c r="L165" s="226">
        <f>SUM(IF(ng_production_cost="yes",'Life Cycle Assessment Data'!L115*I129+IF(embedded_emissions_cost="yes",'Life Cycle Assessment Data'!L114,0)),IF(ng_combustion_cost="yes",'Life Cycle Assessment Data'!L119,0)*I129)</f>
        <v>6.3954527234667971E-10</v>
      </c>
      <c r="M165" s="226">
        <f>SUM(IF(ng_production_cost="yes",'Life Cycle Assessment Data'!M115*J129+IF(embedded_emissions_cost="yes",'Life Cycle Assessment Data'!M114,0)),IF(ng_combustion_cost="yes",'Life Cycle Assessment Data'!M119,0)*J129)</f>
        <v>6.3954527234667971E-10</v>
      </c>
      <c r="N165" s="226">
        <f>SUM(IF(ng_production_cost="yes",'Life Cycle Assessment Data'!N115*K129+IF(embedded_emissions_cost="yes",'Life Cycle Assessment Data'!N114,0)),IF(ng_combustion_cost="yes",'Life Cycle Assessment Data'!N119,0)*K129)</f>
        <v>6.3954527234667971E-10</v>
      </c>
      <c r="O165" s="226">
        <f>SUM(IF(ng_production_cost="yes",'Life Cycle Assessment Data'!O115*L129+IF(embedded_emissions_cost="yes",'Life Cycle Assessment Data'!O114,0)),IF(ng_combustion_cost="yes",'Life Cycle Assessment Data'!O119,0)*L129)</f>
        <v>6.3954527234667971E-10</v>
      </c>
      <c r="P165" s="226">
        <f>SUM(IF(ng_production_cost="yes",'Life Cycle Assessment Data'!P115*M129+IF(embedded_emissions_cost="yes",'Life Cycle Assessment Data'!P114,0)),IF(ng_combustion_cost="yes",'Life Cycle Assessment Data'!P119,0)*M129)</f>
        <v>6.3954527234667971E-10</v>
      </c>
      <c r="Q165" s="226">
        <f>SUM(IF(ng_production_cost="yes",'Life Cycle Assessment Data'!Q115*N129+IF(embedded_emissions_cost="yes",'Life Cycle Assessment Data'!Q114,0)),IF(ng_combustion_cost="yes",'Life Cycle Assessment Data'!Q119,0)*N129)</f>
        <v>6.3954527234667971E-10</v>
      </c>
      <c r="R165" s="226">
        <f>SUM(IF(ng_production_cost="yes",'Life Cycle Assessment Data'!R115*O129+IF(embedded_emissions_cost="yes",'Life Cycle Assessment Data'!R114,0)),IF(ng_combustion_cost="yes",'Life Cycle Assessment Data'!R119,0)*O129)</f>
        <v>6.3954527234667971E-10</v>
      </c>
      <c r="S165" s="226">
        <f>SUM(IF(ng_production_cost="yes",'Life Cycle Assessment Data'!S115*P129+IF(embedded_emissions_cost="yes",'Life Cycle Assessment Data'!S114,0)),IF(ng_combustion_cost="yes",'Life Cycle Assessment Data'!S119,0)*P129)</f>
        <v>6.3954527234667971E-10</v>
      </c>
      <c r="T165" s="226">
        <f>SUM(IF(ng_production_cost="yes",'Life Cycle Assessment Data'!T115*Q129+IF(embedded_emissions_cost="yes",'Life Cycle Assessment Data'!T114,0)),IF(ng_combustion_cost="yes",'Life Cycle Assessment Data'!T119,0)*Q129)</f>
        <v>6.3954527234667971E-10</v>
      </c>
      <c r="U165" s="226">
        <f>SUM(IF(ng_production_cost="yes",'Life Cycle Assessment Data'!U115*R129+IF(embedded_emissions_cost="yes",'Life Cycle Assessment Data'!U114,0)),IF(ng_combustion_cost="yes",'Life Cycle Assessment Data'!U119,0)*R129)</f>
        <v>6.3954527234667971E-10</v>
      </c>
      <c r="V165" s="226">
        <f>SUM(IF(ng_production_cost="yes",'Life Cycle Assessment Data'!V115*S129+IF(embedded_emissions_cost="yes",'Life Cycle Assessment Data'!V114,0)),IF(ng_combustion_cost="yes",'Life Cycle Assessment Data'!V119,0)*S129)</f>
        <v>6.3954527234667971E-10</v>
      </c>
      <c r="W165" s="226">
        <f>SUM(IF(ng_production_cost="yes",'Life Cycle Assessment Data'!W115*T129+IF(embedded_emissions_cost="yes",'Life Cycle Assessment Data'!W114,0)),IF(ng_combustion_cost="yes",'Life Cycle Assessment Data'!W119,0)*T129)</f>
        <v>6.3954527234667971E-10</v>
      </c>
      <c r="X165" s="226">
        <f>SUM(IF(ng_production_cost="yes",'Life Cycle Assessment Data'!X115*U129+IF(embedded_emissions_cost="yes",'Life Cycle Assessment Data'!X114,0)),IF(ng_combustion_cost="yes",'Life Cycle Assessment Data'!X119,0)*U129)</f>
        <v>6.3954527234667971E-10</v>
      </c>
      <c r="Y165" s="226">
        <f>SUM(IF(ng_production_cost="yes",'Life Cycle Assessment Data'!Y115*V129+IF(embedded_emissions_cost="yes",'Life Cycle Assessment Data'!Y114,0)),IF(ng_combustion_cost="yes",'Life Cycle Assessment Data'!Y119,0)*V129)</f>
        <v>6.3954527234667971E-10</v>
      </c>
      <c r="Z165" s="226">
        <f>SUM(IF(ng_production_cost="yes",'Life Cycle Assessment Data'!Z115*W129+IF(embedded_emissions_cost="yes",'Life Cycle Assessment Data'!Z114,0)),IF(ng_combustion_cost="yes",'Life Cycle Assessment Data'!Z119,0)*W129)</f>
        <v>6.3954527234667971E-10</v>
      </c>
      <c r="AA165" s="226">
        <f>SUM(IF(ng_production_cost="yes",'Life Cycle Assessment Data'!AA115*X129+IF(embedded_emissions_cost="yes",'Life Cycle Assessment Data'!AA114,0)),IF(ng_combustion_cost="yes",'Life Cycle Assessment Data'!AA119,0)*X129)</f>
        <v>6.3954527234667971E-10</v>
      </c>
      <c r="AB165" s="226">
        <f>SUM(IF(ng_production_cost="yes",'Life Cycle Assessment Data'!AB115*Y129+IF(embedded_emissions_cost="yes",'Life Cycle Assessment Data'!AB114,0)),IF(ng_combustion_cost="yes",'Life Cycle Assessment Data'!AB119,0)*Y129)</f>
        <v>6.3954527234667971E-10</v>
      </c>
      <c r="AC165" s="226">
        <f>SUM(IF(ng_production_cost="yes",'Life Cycle Assessment Data'!AC115*Z129+IF(embedded_emissions_cost="yes",'Life Cycle Assessment Data'!AC114,0)),IF(ng_combustion_cost="yes",'Life Cycle Assessment Data'!AC119,0)*Z129)</f>
        <v>6.3954527234667971E-10</v>
      </c>
      <c r="AD165" s="226">
        <f>SUM(IF(ng_production_cost="yes",'Life Cycle Assessment Data'!AD115*AA129+IF(embedded_emissions_cost="yes",'Life Cycle Assessment Data'!AD114,0)),IF(ng_combustion_cost="yes",'Life Cycle Assessment Data'!AD119,0)*AA129)</f>
        <v>6.3954527234667971E-10</v>
      </c>
      <c r="AE165" s="226">
        <f>SUM(IF(ng_production_cost="yes",'Life Cycle Assessment Data'!AE115*AB129+IF(embedded_emissions_cost="yes",'Life Cycle Assessment Data'!AE114,0)),IF(ng_combustion_cost="yes",'Life Cycle Assessment Data'!AE119,0)*AB129)</f>
        <v>6.3954527234667971E-10</v>
      </c>
      <c r="AF165" s="226">
        <f>SUM(IF(ng_production_cost="yes",'Life Cycle Assessment Data'!AF115*AC129+IF(embedded_emissions_cost="yes",'Life Cycle Assessment Data'!AF114,0)),IF(ng_combustion_cost="yes",'Life Cycle Assessment Data'!AF119,0)*AC129)</f>
        <v>6.3954527234667971E-10</v>
      </c>
      <c r="AG165" s="226">
        <f>SUM(IF(ng_production_cost="yes",'Life Cycle Assessment Data'!AG115*AD129+IF(embedded_emissions_cost="yes",'Life Cycle Assessment Data'!AG114,0)),IF(ng_combustion_cost="yes",'Life Cycle Assessment Data'!AG119,0)*AD129)</f>
        <v>6.3954527234667971E-10</v>
      </c>
      <c r="AH165" s="226">
        <f>SUM(IF(ng_production_cost="yes",'Life Cycle Assessment Data'!AH115*AE129+IF(embedded_emissions_cost="yes",'Life Cycle Assessment Data'!AH114,0)),IF(ng_combustion_cost="yes",'Life Cycle Assessment Data'!AH119,0)*AE129)</f>
        <v>6.3954527234667971E-10</v>
      </c>
      <c r="AI165" s="226">
        <f>SUM(IF(ng_production_cost="yes",'Life Cycle Assessment Data'!AI115*AF129+IF(embedded_emissions_cost="yes",'Life Cycle Assessment Data'!AI114,0)),IF(ng_combustion_cost="yes",'Life Cycle Assessment Data'!AI119,0)*AF129)</f>
        <v>6.3954527234667971E-10</v>
      </c>
      <c r="AJ165" s="226">
        <f>SUM(IF(ng_production_cost="yes",'Life Cycle Assessment Data'!AJ115*AG129+IF(embedded_emissions_cost="yes",'Life Cycle Assessment Data'!AJ114,0)),IF(ng_combustion_cost="yes",'Life Cycle Assessment Data'!AJ119,0)*AG129)</f>
        <v>6.3954527234667971E-10</v>
      </c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s="30" customFormat="1" outlineLevel="1" x14ac:dyDescent="0.25">
      <c r="A166"/>
      <c r="B166" s="15" t="s">
        <v>83</v>
      </c>
      <c r="C166" s="117">
        <v>0</v>
      </c>
      <c r="D166" s="117">
        <v>0</v>
      </c>
      <c r="E166" s="117">
        <v>0</v>
      </c>
      <c r="F166" s="226">
        <f>'Life Cycle Assessment Data'!F120*C130</f>
        <v>0</v>
      </c>
      <c r="G166" s="226">
        <f>'Life Cycle Assessment Data'!G120*D130</f>
        <v>0</v>
      </c>
      <c r="H166" s="226">
        <f>'Life Cycle Assessment Data'!H120*E130</f>
        <v>0</v>
      </c>
      <c r="I166" s="226">
        <f>'Life Cycle Assessment Data'!I120*F130</f>
        <v>0</v>
      </c>
      <c r="J166" s="226">
        <f>'Life Cycle Assessment Data'!J120*G130</f>
        <v>0</v>
      </c>
      <c r="K166" s="226">
        <f>'Life Cycle Assessment Data'!K120*H130</f>
        <v>0</v>
      </c>
      <c r="L166" s="226">
        <f>'Life Cycle Assessment Data'!L120*I130</f>
        <v>0</v>
      </c>
      <c r="M166" s="226">
        <f>'Life Cycle Assessment Data'!M120*J130</f>
        <v>0</v>
      </c>
      <c r="N166" s="226">
        <f>'Life Cycle Assessment Data'!N120*K130</f>
        <v>0</v>
      </c>
      <c r="O166" s="226">
        <f>'Life Cycle Assessment Data'!O120*L130</f>
        <v>0</v>
      </c>
      <c r="P166" s="226">
        <f>'Life Cycle Assessment Data'!P120*M130</f>
        <v>0</v>
      </c>
      <c r="Q166" s="226">
        <f>'Life Cycle Assessment Data'!Q120*N130</f>
        <v>0</v>
      </c>
      <c r="R166" s="226">
        <f>'Life Cycle Assessment Data'!R120*O130</f>
        <v>0</v>
      </c>
      <c r="S166" s="226">
        <f>'Life Cycle Assessment Data'!S120*P130</f>
        <v>0</v>
      </c>
      <c r="T166" s="226">
        <f>'Life Cycle Assessment Data'!T120*Q130</f>
        <v>0</v>
      </c>
      <c r="U166" s="226">
        <f>'Life Cycle Assessment Data'!U120*R130</f>
        <v>0</v>
      </c>
      <c r="V166" s="226">
        <f>'Life Cycle Assessment Data'!V120*S130</f>
        <v>0</v>
      </c>
      <c r="W166" s="226">
        <f>'Life Cycle Assessment Data'!W120*T130</f>
        <v>0</v>
      </c>
      <c r="X166" s="226">
        <f>'Life Cycle Assessment Data'!X120*U130</f>
        <v>0</v>
      </c>
      <c r="Y166" s="226">
        <f>'Life Cycle Assessment Data'!Y120*V130</f>
        <v>0</v>
      </c>
      <c r="Z166" s="226">
        <f>'Life Cycle Assessment Data'!Z120*W130</f>
        <v>0</v>
      </c>
      <c r="AA166" s="226">
        <f>'Life Cycle Assessment Data'!AA120*X130</f>
        <v>0</v>
      </c>
      <c r="AB166" s="226">
        <f>'Life Cycle Assessment Data'!AB120*Y130</f>
        <v>0</v>
      </c>
      <c r="AC166" s="226">
        <f>'Life Cycle Assessment Data'!AC120*Z130</f>
        <v>0</v>
      </c>
      <c r="AD166" s="226">
        <f>'Life Cycle Assessment Data'!AD120*AA130</f>
        <v>0</v>
      </c>
      <c r="AE166" s="226">
        <f>'Life Cycle Assessment Data'!AE120*AB130</f>
        <v>0</v>
      </c>
      <c r="AF166" s="226">
        <f>'Life Cycle Assessment Data'!AF120*AC130</f>
        <v>0</v>
      </c>
      <c r="AG166" s="226">
        <f>'Life Cycle Assessment Data'!AG120*AD130</f>
        <v>0</v>
      </c>
      <c r="AH166" s="226">
        <f>'Life Cycle Assessment Data'!AH120*AE130</f>
        <v>0</v>
      </c>
      <c r="AI166" s="226">
        <f>'Life Cycle Assessment Data'!AI120*AF130</f>
        <v>0</v>
      </c>
      <c r="AJ166" s="226">
        <f>'Life Cycle Assessment Data'!AJ120*AG130</f>
        <v>0</v>
      </c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s="30" customFormat="1" outlineLevel="1" x14ac:dyDescent="0.25">
      <c r="A167"/>
      <c r="B167" s="15" t="s">
        <v>84</v>
      </c>
      <c r="C167" s="117">
        <v>0</v>
      </c>
      <c r="D167" s="117">
        <v>0</v>
      </c>
      <c r="E167" s="117">
        <v>0</v>
      </c>
      <c r="F167" s="226">
        <f>IF(bio_production_cost="no",'Life Cycle Assessment Data'!F121*C131,SUM('Life Cycle Assessment Data'!F116,'Life Cycle Assessment Data'!F121)*C131)</f>
        <v>0</v>
      </c>
      <c r="G167" s="226">
        <f>IF(bio_production_cost="no",'Life Cycle Assessment Data'!G121*D131,SUM('Life Cycle Assessment Data'!G116,'Life Cycle Assessment Data'!G121)*D131)</f>
        <v>0</v>
      </c>
      <c r="H167" s="226">
        <f>IF(bio_production_cost="no",'Life Cycle Assessment Data'!H121*E131,SUM('Life Cycle Assessment Data'!H116,'Life Cycle Assessment Data'!H121)*E131)</f>
        <v>0</v>
      </c>
      <c r="I167" s="226">
        <f>IF(bio_production_cost="no",'Life Cycle Assessment Data'!I121*F131,SUM('Life Cycle Assessment Data'!I116,'Life Cycle Assessment Data'!I121)*F131)</f>
        <v>0</v>
      </c>
      <c r="J167" s="226">
        <f>IF(bio_production_cost="no",'Life Cycle Assessment Data'!J121*G131,SUM('Life Cycle Assessment Data'!J116,'Life Cycle Assessment Data'!J121)*G131)</f>
        <v>0</v>
      </c>
      <c r="K167" s="226">
        <f>IF(bio_production_cost="no",'Life Cycle Assessment Data'!K121*H131,SUM('Life Cycle Assessment Data'!K116,'Life Cycle Assessment Data'!K121)*H131)</f>
        <v>0</v>
      </c>
      <c r="L167" s="226">
        <f>IF(bio_production_cost="no",'Life Cycle Assessment Data'!L121*I131,SUM('Life Cycle Assessment Data'!L116,'Life Cycle Assessment Data'!L121)*I131)</f>
        <v>0</v>
      </c>
      <c r="M167" s="226">
        <f>IF(bio_production_cost="no",'Life Cycle Assessment Data'!M121*J131,SUM('Life Cycle Assessment Data'!M116,'Life Cycle Assessment Data'!M121)*J131)</f>
        <v>0</v>
      </c>
      <c r="N167" s="226">
        <f>IF(bio_production_cost="no",'Life Cycle Assessment Data'!N121*K131,SUM('Life Cycle Assessment Data'!N116,'Life Cycle Assessment Data'!N121)*K131)</f>
        <v>0</v>
      </c>
      <c r="O167" s="226">
        <f>IF(bio_production_cost="no",'Life Cycle Assessment Data'!O121*L131,SUM('Life Cycle Assessment Data'!O116,'Life Cycle Assessment Data'!O121)*L131)</f>
        <v>0</v>
      </c>
      <c r="P167" s="226">
        <f>IF(bio_production_cost="no",'Life Cycle Assessment Data'!P121*M131,SUM('Life Cycle Assessment Data'!P116,'Life Cycle Assessment Data'!P121)*M131)</f>
        <v>0</v>
      </c>
      <c r="Q167" s="226">
        <f>IF(bio_production_cost="no",'Life Cycle Assessment Data'!Q121*N131,SUM('Life Cycle Assessment Data'!Q116,'Life Cycle Assessment Data'!Q121)*N131)</f>
        <v>0</v>
      </c>
      <c r="R167" s="226">
        <f>IF(bio_production_cost="no",'Life Cycle Assessment Data'!R121*O131,SUM('Life Cycle Assessment Data'!R116,'Life Cycle Assessment Data'!R121)*O131)</f>
        <v>0</v>
      </c>
      <c r="S167" s="226">
        <f>IF(bio_production_cost="no",'Life Cycle Assessment Data'!S121*P131,SUM('Life Cycle Assessment Data'!S116,'Life Cycle Assessment Data'!S121)*P131)</f>
        <v>0</v>
      </c>
      <c r="T167" s="226">
        <f>IF(bio_production_cost="no",'Life Cycle Assessment Data'!T121*Q131,SUM('Life Cycle Assessment Data'!T116,'Life Cycle Assessment Data'!T121)*Q131)</f>
        <v>0</v>
      </c>
      <c r="U167" s="226">
        <f>IF(bio_production_cost="no",'Life Cycle Assessment Data'!U121*R131,SUM('Life Cycle Assessment Data'!U116,'Life Cycle Assessment Data'!U121)*R131)</f>
        <v>0</v>
      </c>
      <c r="V167" s="226">
        <f>IF(bio_production_cost="no",'Life Cycle Assessment Data'!V121*S131,SUM('Life Cycle Assessment Data'!V116,'Life Cycle Assessment Data'!V121)*S131)</f>
        <v>0</v>
      </c>
      <c r="W167" s="226">
        <f>IF(bio_production_cost="no",'Life Cycle Assessment Data'!W121*T131,SUM('Life Cycle Assessment Data'!W116,'Life Cycle Assessment Data'!W121)*T131)</f>
        <v>0</v>
      </c>
      <c r="X167" s="226">
        <f>IF(bio_production_cost="no",'Life Cycle Assessment Data'!X121*U131,SUM('Life Cycle Assessment Data'!X116,'Life Cycle Assessment Data'!X121)*U131)</f>
        <v>0</v>
      </c>
      <c r="Y167" s="226">
        <f>IF(bio_production_cost="no",'Life Cycle Assessment Data'!Y121*V131,SUM('Life Cycle Assessment Data'!Y116,'Life Cycle Assessment Data'!Y121)*V131)</f>
        <v>0</v>
      </c>
      <c r="Z167" s="226">
        <f>IF(bio_production_cost="no",'Life Cycle Assessment Data'!Z121*W131,SUM('Life Cycle Assessment Data'!Z116,'Life Cycle Assessment Data'!Z121)*W131)</f>
        <v>0</v>
      </c>
      <c r="AA167" s="226">
        <f>IF(bio_production_cost="no",'Life Cycle Assessment Data'!AA121*X131,SUM('Life Cycle Assessment Data'!AA116,'Life Cycle Assessment Data'!AA121)*X131)</f>
        <v>0</v>
      </c>
      <c r="AB167" s="226">
        <f>IF(bio_production_cost="no",'Life Cycle Assessment Data'!AB121*Y131,SUM('Life Cycle Assessment Data'!AB116,'Life Cycle Assessment Data'!AB121)*Y131)</f>
        <v>0</v>
      </c>
      <c r="AC167" s="226">
        <f>IF(bio_production_cost="no",'Life Cycle Assessment Data'!AC121*Z131,SUM('Life Cycle Assessment Data'!AC116,'Life Cycle Assessment Data'!AC121)*Z131)</f>
        <v>0</v>
      </c>
      <c r="AD167" s="226">
        <f>IF(bio_production_cost="no",'Life Cycle Assessment Data'!AD121*AA131,SUM('Life Cycle Assessment Data'!AD116,'Life Cycle Assessment Data'!AD121)*AA131)</f>
        <v>0</v>
      </c>
      <c r="AE167" s="226">
        <f>IF(bio_production_cost="no",'Life Cycle Assessment Data'!AE121*AB131,SUM('Life Cycle Assessment Data'!AE116,'Life Cycle Assessment Data'!AE121)*AB131)</f>
        <v>0</v>
      </c>
      <c r="AF167" s="226">
        <f>IF(bio_production_cost="no",'Life Cycle Assessment Data'!AF121*AC131,SUM('Life Cycle Assessment Data'!AF116,'Life Cycle Assessment Data'!AF121)*AC131)</f>
        <v>0</v>
      </c>
      <c r="AG167" s="226">
        <f>IF(bio_production_cost="no",'Life Cycle Assessment Data'!AG121*AD131,SUM('Life Cycle Assessment Data'!AG116,'Life Cycle Assessment Data'!AG121)*AD131)</f>
        <v>0</v>
      </c>
      <c r="AH167" s="226">
        <f>IF(bio_production_cost="no",'Life Cycle Assessment Data'!AH121*AE131,SUM('Life Cycle Assessment Data'!AH116,'Life Cycle Assessment Data'!AH121)*AE131)</f>
        <v>0</v>
      </c>
      <c r="AI167" s="226">
        <f>IF(bio_production_cost="no",'Life Cycle Assessment Data'!AI121*AF131,SUM('Life Cycle Assessment Data'!AI116,'Life Cycle Assessment Data'!AI121)*AF131)</f>
        <v>0</v>
      </c>
      <c r="AJ167" s="226">
        <f>IF(bio_production_cost="no",'Life Cycle Assessment Data'!AJ121*AG131,SUM('Life Cycle Assessment Data'!AJ116,'Life Cycle Assessment Data'!AJ121)*AG131)</f>
        <v>0</v>
      </c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s="30" customFormat="1" outlineLevel="1" x14ac:dyDescent="0.25">
      <c r="A168"/>
      <c r="B168" s="15" t="s">
        <v>85</v>
      </c>
      <c r="C168" s="117">
        <v>0</v>
      </c>
      <c r="D168" s="117">
        <v>0</v>
      </c>
      <c r="E168" s="117">
        <v>0</v>
      </c>
      <c r="F168" s="226">
        <f>IF(bio_production_cost="no",'Life Cycle Assessment Data'!F122*C132,SUM('Life Cycle Assessment Data'!F122,'Life Cycle Assessment Data'!F117)*C132)</f>
        <v>0</v>
      </c>
      <c r="G168" s="226">
        <f>IF(bio_production_cost="no",'Life Cycle Assessment Data'!G122*D132,SUM('Life Cycle Assessment Data'!G122,'Life Cycle Assessment Data'!G117)*D132)</f>
        <v>0</v>
      </c>
      <c r="H168" s="226">
        <f>IF(bio_production_cost="no",'Life Cycle Assessment Data'!H122*E132,SUM('Life Cycle Assessment Data'!H122,'Life Cycle Assessment Data'!H117)*E132)</f>
        <v>0</v>
      </c>
      <c r="I168" s="226">
        <f>IF(bio_production_cost="no",'Life Cycle Assessment Data'!I122*F132,SUM('Life Cycle Assessment Data'!I122,'Life Cycle Assessment Data'!I117)*F132)</f>
        <v>0</v>
      </c>
      <c r="J168" s="226">
        <f>IF(bio_production_cost="no",'Life Cycle Assessment Data'!J122*G132,SUM('Life Cycle Assessment Data'!J122,'Life Cycle Assessment Data'!J117)*G132)</f>
        <v>0</v>
      </c>
      <c r="K168" s="226">
        <f>IF(bio_production_cost="no",'Life Cycle Assessment Data'!K122*H132,SUM('Life Cycle Assessment Data'!K122,'Life Cycle Assessment Data'!K117)*H132)</f>
        <v>0</v>
      </c>
      <c r="L168" s="226">
        <f>IF(bio_production_cost="no",'Life Cycle Assessment Data'!L122*I132,SUM('Life Cycle Assessment Data'!L122,'Life Cycle Assessment Data'!L117)*I132)</f>
        <v>0</v>
      </c>
      <c r="M168" s="226">
        <f>IF(bio_production_cost="no",'Life Cycle Assessment Data'!M122*J132,SUM('Life Cycle Assessment Data'!M122,'Life Cycle Assessment Data'!M117)*J132)</f>
        <v>0</v>
      </c>
      <c r="N168" s="226">
        <f>IF(bio_production_cost="no",'Life Cycle Assessment Data'!N122*K132,SUM('Life Cycle Assessment Data'!N122,'Life Cycle Assessment Data'!N117)*K132)</f>
        <v>0</v>
      </c>
      <c r="O168" s="226">
        <f>IF(bio_production_cost="no",'Life Cycle Assessment Data'!O122*L132,SUM('Life Cycle Assessment Data'!O122,'Life Cycle Assessment Data'!O117)*L132)</f>
        <v>0</v>
      </c>
      <c r="P168" s="226">
        <f>IF(bio_production_cost="no",'Life Cycle Assessment Data'!P122*M132,SUM('Life Cycle Assessment Data'!P122,'Life Cycle Assessment Data'!P117)*M132)</f>
        <v>0</v>
      </c>
      <c r="Q168" s="226">
        <f>IF(bio_production_cost="no",'Life Cycle Assessment Data'!Q122*N132,SUM('Life Cycle Assessment Data'!Q122,'Life Cycle Assessment Data'!Q117)*N132)</f>
        <v>0</v>
      </c>
      <c r="R168" s="226">
        <f>IF(bio_production_cost="no",'Life Cycle Assessment Data'!R122*O132,SUM('Life Cycle Assessment Data'!R122,'Life Cycle Assessment Data'!R117)*O132)</f>
        <v>0</v>
      </c>
      <c r="S168" s="226">
        <f>IF(bio_production_cost="no",'Life Cycle Assessment Data'!S122*P132,SUM('Life Cycle Assessment Data'!S122,'Life Cycle Assessment Data'!S117)*P132)</f>
        <v>0</v>
      </c>
      <c r="T168" s="226">
        <f>IF(bio_production_cost="no",'Life Cycle Assessment Data'!T122*Q132,SUM('Life Cycle Assessment Data'!T122,'Life Cycle Assessment Data'!T117)*Q132)</f>
        <v>0</v>
      </c>
      <c r="U168" s="226">
        <f>IF(bio_production_cost="no",'Life Cycle Assessment Data'!U122*R132,SUM('Life Cycle Assessment Data'!U122,'Life Cycle Assessment Data'!U117)*R132)</f>
        <v>0</v>
      </c>
      <c r="V168" s="226">
        <f>IF(bio_production_cost="no",'Life Cycle Assessment Data'!V122*S132,SUM('Life Cycle Assessment Data'!V122,'Life Cycle Assessment Data'!V117)*S132)</f>
        <v>0</v>
      </c>
      <c r="W168" s="226">
        <f>IF(bio_production_cost="no",'Life Cycle Assessment Data'!W122*T132,SUM('Life Cycle Assessment Data'!W122,'Life Cycle Assessment Data'!W117)*T132)</f>
        <v>0</v>
      </c>
      <c r="X168" s="226">
        <f>IF(bio_production_cost="no",'Life Cycle Assessment Data'!X122*U132,SUM('Life Cycle Assessment Data'!X122,'Life Cycle Assessment Data'!X117)*U132)</f>
        <v>0</v>
      </c>
      <c r="Y168" s="226">
        <f>IF(bio_production_cost="no",'Life Cycle Assessment Data'!Y122*V132,SUM('Life Cycle Assessment Data'!Y122,'Life Cycle Assessment Data'!Y117)*V132)</f>
        <v>0</v>
      </c>
      <c r="Z168" s="226">
        <f>IF(bio_production_cost="no",'Life Cycle Assessment Data'!Z122*W132,SUM('Life Cycle Assessment Data'!Z122,'Life Cycle Assessment Data'!Z117)*W132)</f>
        <v>0</v>
      </c>
      <c r="AA168" s="226">
        <f>IF(bio_production_cost="no",'Life Cycle Assessment Data'!AA122*X132,SUM('Life Cycle Assessment Data'!AA122,'Life Cycle Assessment Data'!AA117)*X132)</f>
        <v>0</v>
      </c>
      <c r="AB168" s="226">
        <f>IF(bio_production_cost="no",'Life Cycle Assessment Data'!AB122*Y132,SUM('Life Cycle Assessment Data'!AB122,'Life Cycle Assessment Data'!AB117)*Y132)</f>
        <v>0</v>
      </c>
      <c r="AC168" s="226">
        <f>IF(bio_production_cost="no",'Life Cycle Assessment Data'!AC122*Z132,SUM('Life Cycle Assessment Data'!AC122,'Life Cycle Assessment Data'!AC117)*Z132)</f>
        <v>0</v>
      </c>
      <c r="AD168" s="226">
        <f>IF(bio_production_cost="no",'Life Cycle Assessment Data'!AD122*AA132,SUM('Life Cycle Assessment Data'!AD122,'Life Cycle Assessment Data'!AD117)*AA132)</f>
        <v>0</v>
      </c>
      <c r="AE168" s="226">
        <f>IF(bio_production_cost="no",'Life Cycle Assessment Data'!AE122*AB132,SUM('Life Cycle Assessment Data'!AE122,'Life Cycle Assessment Data'!AE117)*AB132)</f>
        <v>0</v>
      </c>
      <c r="AF168" s="226">
        <f>IF(bio_production_cost="no",'Life Cycle Assessment Data'!AF122*AC132,SUM('Life Cycle Assessment Data'!AF122,'Life Cycle Assessment Data'!AF117)*AC132)</f>
        <v>0</v>
      </c>
      <c r="AG168" s="226">
        <f>IF(bio_production_cost="no",'Life Cycle Assessment Data'!AG122*AD132,SUM('Life Cycle Assessment Data'!AG122,'Life Cycle Assessment Data'!AG117)*AD132)</f>
        <v>0</v>
      </c>
      <c r="AH168" s="226">
        <f>IF(bio_production_cost="no",'Life Cycle Assessment Data'!AH122*AE132,SUM('Life Cycle Assessment Data'!AH122,'Life Cycle Assessment Data'!AH117)*AE132)</f>
        <v>0</v>
      </c>
      <c r="AI168" s="226">
        <f>IF(bio_production_cost="no",'Life Cycle Assessment Data'!AI122*AF132,SUM('Life Cycle Assessment Data'!AI122,'Life Cycle Assessment Data'!AI117)*AF132)</f>
        <v>0</v>
      </c>
      <c r="AJ168" s="226">
        <f>IF(bio_production_cost="no",'Life Cycle Assessment Data'!AJ122*AG132,SUM('Life Cycle Assessment Data'!AJ122,'Life Cycle Assessment Data'!AJ117)*AG132)</f>
        <v>0</v>
      </c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s="30" customFormat="1" outlineLevel="1" x14ac:dyDescent="0.25">
      <c r="A169"/>
      <c r="B169" s="163" t="s">
        <v>196</v>
      </c>
      <c r="C169" s="215"/>
      <c r="D169" s="215"/>
      <c r="E169" s="215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4"/>
      <c r="Y169" s="164"/>
      <c r="Z169" s="164"/>
      <c r="AA169" s="164"/>
      <c r="AB169" s="164"/>
      <c r="AC169" s="164"/>
      <c r="AD169" s="164"/>
      <c r="AE169" s="164"/>
      <c r="AF169" s="164"/>
      <c r="AG169" s="164"/>
      <c r="AH169" s="164"/>
      <c r="AI169" s="164"/>
      <c r="AJ169" s="164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s="30" customFormat="1" outlineLevel="1" x14ac:dyDescent="0.25">
      <c r="A170"/>
      <c r="B170" s="67" t="s">
        <v>190</v>
      </c>
      <c r="C170" s="227">
        <f>IF(embedded_emissions_cost="no",0,'Life Cycle Assessment Data'!C90+'Life Cycle Assessment Data'!C91)</f>
        <v>2.8542999999999996E-8</v>
      </c>
      <c r="D170" s="227">
        <f>IF(embedded_emissions_cost="no",0,'Life Cycle Assessment Data'!D90+'Life Cycle Assessment Data'!D91)</f>
        <v>2.8542999999999996E-8</v>
      </c>
      <c r="E170" s="227">
        <f>IF(embedded_emissions_cost="no",0,'Life Cycle Assessment Data'!E90+'Life Cycle Assessment Data'!E91)</f>
        <v>2.9939124999999998E-8</v>
      </c>
      <c r="F170" s="227">
        <f>IF(embedded_emissions_cost="no",0,'Life Cycle Assessment Data'!F90+'Life Cycle Assessment Data'!F91)</f>
        <v>0</v>
      </c>
      <c r="G170" s="227">
        <f>IF(embedded_emissions_cost="no",0,'Life Cycle Assessment Data'!G90+'Life Cycle Assessment Data'!G91)</f>
        <v>0</v>
      </c>
      <c r="H170" s="227">
        <f>IF(embedded_emissions_cost="no",0,'Life Cycle Assessment Data'!H90+'Life Cycle Assessment Data'!H91)</f>
        <v>0</v>
      </c>
      <c r="I170" s="227">
        <f>IF(embedded_emissions_cost="no",0,'Life Cycle Assessment Data'!I90+'Life Cycle Assessment Data'!I91)</f>
        <v>0</v>
      </c>
      <c r="J170" s="227">
        <f>IF(embedded_emissions_cost="no",0,'Life Cycle Assessment Data'!J90+'Life Cycle Assessment Data'!J91)</f>
        <v>0</v>
      </c>
      <c r="K170" s="227">
        <f>IF(embedded_emissions_cost="no",0,'Life Cycle Assessment Data'!K90+'Life Cycle Assessment Data'!K91)</f>
        <v>0</v>
      </c>
      <c r="L170" s="227">
        <f>IF(embedded_emissions_cost="no",0,'Life Cycle Assessment Data'!L90+'Life Cycle Assessment Data'!L91)</f>
        <v>0</v>
      </c>
      <c r="M170" s="227">
        <f>IF(embedded_emissions_cost="no",0,'Life Cycle Assessment Data'!M90+'Life Cycle Assessment Data'!M91)</f>
        <v>0</v>
      </c>
      <c r="N170" s="227">
        <f>IF(embedded_emissions_cost="no",0,'Life Cycle Assessment Data'!N90+'Life Cycle Assessment Data'!N91)</f>
        <v>0</v>
      </c>
      <c r="O170" s="227">
        <f>IF(embedded_emissions_cost="no",0,'Life Cycle Assessment Data'!O90+'Life Cycle Assessment Data'!O91)</f>
        <v>0</v>
      </c>
      <c r="P170" s="227">
        <f>IF(embedded_emissions_cost="no",0,'Life Cycle Assessment Data'!P90+'Life Cycle Assessment Data'!P91)</f>
        <v>0</v>
      </c>
      <c r="Q170" s="227">
        <f>IF(embedded_emissions_cost="no",0,'Life Cycle Assessment Data'!Q90+'Life Cycle Assessment Data'!Q91)</f>
        <v>0</v>
      </c>
      <c r="R170" s="227">
        <f>IF(embedded_emissions_cost="no",0,'Life Cycle Assessment Data'!R90+'Life Cycle Assessment Data'!R91)</f>
        <v>0</v>
      </c>
      <c r="S170" s="227">
        <f>IF(embedded_emissions_cost="no",0,'Life Cycle Assessment Data'!S90+'Life Cycle Assessment Data'!S91)</f>
        <v>0</v>
      </c>
      <c r="T170" s="227">
        <f>IF(embedded_emissions_cost="no",0,'Life Cycle Assessment Data'!T90+'Life Cycle Assessment Data'!T91)</f>
        <v>0</v>
      </c>
      <c r="U170" s="227">
        <f>IF(embedded_emissions_cost="no",0,'Life Cycle Assessment Data'!U90+'Life Cycle Assessment Data'!U91)</f>
        <v>0</v>
      </c>
      <c r="V170" s="227">
        <f>IF(embedded_emissions_cost="no",0,'Life Cycle Assessment Data'!V90+'Life Cycle Assessment Data'!V91)</f>
        <v>0</v>
      </c>
      <c r="W170" s="227">
        <f>IF(embedded_emissions_cost="no",0,'Life Cycle Assessment Data'!W90+'Life Cycle Assessment Data'!W91)</f>
        <v>0</v>
      </c>
      <c r="X170" s="227">
        <f>IF(embedded_emissions_cost="no",0,'Life Cycle Assessment Data'!X90+'Life Cycle Assessment Data'!X91)</f>
        <v>0</v>
      </c>
      <c r="Y170" s="227">
        <f>IF(embedded_emissions_cost="no",0,'Life Cycle Assessment Data'!Y90+'Life Cycle Assessment Data'!Y91)</f>
        <v>0</v>
      </c>
      <c r="Z170" s="227">
        <f>IF(embedded_emissions_cost="no",0,'Life Cycle Assessment Data'!Z90+'Life Cycle Assessment Data'!Z91)</f>
        <v>0</v>
      </c>
      <c r="AA170" s="227">
        <f>IF(embedded_emissions_cost="no",0,'Life Cycle Assessment Data'!AA90+'Life Cycle Assessment Data'!AA91)</f>
        <v>0</v>
      </c>
      <c r="AB170" s="227">
        <f>IF(embedded_emissions_cost="no",0,'Life Cycle Assessment Data'!AB90+'Life Cycle Assessment Data'!AB91)</f>
        <v>0</v>
      </c>
      <c r="AC170" s="227">
        <f>IF(embedded_emissions_cost="no",0,'Life Cycle Assessment Data'!AC90+'Life Cycle Assessment Data'!AC91)</f>
        <v>0</v>
      </c>
      <c r="AD170" s="227">
        <f>IF(embedded_emissions_cost="no",0,'Life Cycle Assessment Data'!AD90+'Life Cycle Assessment Data'!AD91)</f>
        <v>0</v>
      </c>
      <c r="AE170" s="227">
        <f>IF(embedded_emissions_cost="no",0,'Life Cycle Assessment Data'!AE90+'Life Cycle Assessment Data'!AE91)</f>
        <v>0</v>
      </c>
      <c r="AF170" s="227">
        <f>IF(embedded_emissions_cost="no",0,'Life Cycle Assessment Data'!AF90+'Life Cycle Assessment Data'!AF91)</f>
        <v>0</v>
      </c>
      <c r="AG170" s="227">
        <f>IF(embedded_emissions_cost="no",0,'Life Cycle Assessment Data'!AG90+'Life Cycle Assessment Data'!AG91)</f>
        <v>0</v>
      </c>
      <c r="AH170" s="227">
        <f>IF(embedded_emissions_cost="no",0,'Life Cycle Assessment Data'!AH90+'Life Cycle Assessment Data'!AH91)</f>
        <v>0</v>
      </c>
      <c r="AI170" s="227">
        <f>IF(embedded_emissions_cost="no",0,'Life Cycle Assessment Data'!AI90+'Life Cycle Assessment Data'!AI91)</f>
        <v>0</v>
      </c>
      <c r="AJ170" s="227">
        <f>IF(OR(embedded_emissions_cost="no",pathway="shutdown")=TRUE,0,'Life Cycle Assessment Data'!AJ90+'Life Cycle Assessment Data'!AJ91)</f>
        <v>1.3961250000000001E-9</v>
      </c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s="30" customFormat="1" outlineLevel="1" x14ac:dyDescent="0.25">
      <c r="A171"/>
      <c r="B171" s="18" t="s">
        <v>191</v>
      </c>
      <c r="C171" s="117">
        <f>IF(embedded_emissions_cost="no",0,IF(OR(pathway="biogas ccs", pathway="normal ccs")=TRUE,SUM('Life Cycle Assessment Data'!C92:C93),0))</f>
        <v>0</v>
      </c>
      <c r="D171" s="117">
        <f>IF(embedded_emissions_cost="no",0,IF(OR(pathway="biogas ccs", pathway="normal ccs")=TRUE,SUM('Life Cycle Assessment Data'!D92:D93),0))</f>
        <v>0</v>
      </c>
      <c r="E171" s="117">
        <f>IF(embedded_emissions_cost="no",0,IF(OR(pathway="biogas ccs", pathway="normal ccs")=TRUE,SUM('Life Cycle Assessment Data'!E92:E93),0))</f>
        <v>0</v>
      </c>
      <c r="F171" s="117">
        <f>IF(embedded_emissions_cost="no",0,IF(OR(pathway="biogas ccs", pathway="normal ccs")=TRUE,SUM('Life Cycle Assessment Data'!F92:F93),0))</f>
        <v>0</v>
      </c>
      <c r="G171" s="117">
        <f>IF(embedded_emissions_cost="no",0,IF(OR(pathway="biogas ccs", pathway="normal ccs")=TRUE,SUM('Life Cycle Assessment Data'!G92:G93),0))</f>
        <v>0</v>
      </c>
      <c r="H171" s="117">
        <f>IF(embedded_emissions_cost="no",0,IF(OR(pathway="biogas ccs", pathway="normal ccs")=TRUE,SUM('Life Cycle Assessment Data'!H92:H93),0))</f>
        <v>0</v>
      </c>
      <c r="I171" s="117">
        <f>IF(embedded_emissions_cost="no",0,IF(OR(pathway="biogas ccs", pathway="normal ccs")=TRUE,SUM('Life Cycle Assessment Data'!I92:I93),0))</f>
        <v>0</v>
      </c>
      <c r="J171" s="117">
        <f>IF(embedded_emissions_cost="no",0,IF(OR(pathway="biogas ccs", pathway="normal ccs")=TRUE,SUM('Life Cycle Assessment Data'!J92:J93),0))</f>
        <v>0</v>
      </c>
      <c r="K171" s="117">
        <f>IF(embedded_emissions_cost="no",0,IF(OR(pathway="biogas ccs", pathway="normal ccs")=TRUE,SUM('Life Cycle Assessment Data'!K92:K93),0))</f>
        <v>0</v>
      </c>
      <c r="L171" s="117">
        <f>IF(embedded_emissions_cost="no",0,IF(OR(pathway="biogas ccs", pathway="normal ccs")=TRUE,SUM('Life Cycle Assessment Data'!L92:L93),0))</f>
        <v>0</v>
      </c>
      <c r="M171" s="117">
        <f>IF(embedded_emissions_cost="no",0,IF(OR(pathway="biogas ccs", pathway="normal ccs")=TRUE,SUM('Life Cycle Assessment Data'!M92:M93),0))</f>
        <v>0</v>
      </c>
      <c r="N171" s="117">
        <f>IF(embedded_emissions_cost="no",0,IF(OR(pathway="biogas ccs", pathway="normal ccs")=TRUE,SUM('Life Cycle Assessment Data'!N92:N93),0))</f>
        <v>0</v>
      </c>
      <c r="O171" s="117">
        <f>IF(embedded_emissions_cost="no",0,IF(OR(pathway="biogas ccs", pathway="normal ccs")=TRUE,SUM('Life Cycle Assessment Data'!O92:O93),0))</f>
        <v>0</v>
      </c>
      <c r="P171" s="117">
        <f>IF(embedded_emissions_cost="no",0,IF(OR(pathway="biogas ccs", pathway="normal ccs")=TRUE,SUM('Life Cycle Assessment Data'!P92:P93),0))</f>
        <v>0</v>
      </c>
      <c r="Q171" s="117">
        <f>IF(embedded_emissions_cost="no",0,IF(OR(pathway="biogas ccs", pathway="normal ccs")=TRUE,SUM('Life Cycle Assessment Data'!Q92:Q93),0))</f>
        <v>0</v>
      </c>
      <c r="R171" s="117">
        <f>IF(embedded_emissions_cost="no",0,IF(OR(pathway="biogas ccs", pathway="normal ccs")=TRUE,SUM('Life Cycle Assessment Data'!R92:R93),0))</f>
        <v>0</v>
      </c>
      <c r="S171" s="117">
        <f>IF(embedded_emissions_cost="no",0,IF(OR(pathway="biogas ccs", pathway="normal ccs")=TRUE,SUM('Life Cycle Assessment Data'!S92:S93),0))</f>
        <v>0</v>
      </c>
      <c r="T171" s="117">
        <f>IF(embedded_emissions_cost="no",0,IF(OR(pathway="biogas ccs", pathway="normal ccs")=TRUE,SUM('Life Cycle Assessment Data'!T92:T93),0))</f>
        <v>0</v>
      </c>
      <c r="U171" s="117">
        <f>IF(embedded_emissions_cost="no",0,IF(OR(pathway="biogas ccs", pathway="normal ccs")=TRUE,SUM('Life Cycle Assessment Data'!U92:U93),0))</f>
        <v>0</v>
      </c>
      <c r="V171" s="117">
        <f>IF(embedded_emissions_cost="no",0,IF(OR(pathway="biogas ccs", pathway="normal ccs")=TRUE,SUM('Life Cycle Assessment Data'!V92:V93),0))</f>
        <v>0</v>
      </c>
      <c r="W171" s="117">
        <f>IF(embedded_emissions_cost="no",0,IF(OR(pathway="biogas ccs", pathway="normal ccs")=TRUE,SUM('Life Cycle Assessment Data'!W92:W93),0))</f>
        <v>0</v>
      </c>
      <c r="X171" s="117">
        <f>IF(embedded_emissions_cost="no",0,IF(OR(pathway="biogas ccs", pathway="normal ccs")=TRUE,SUM('Life Cycle Assessment Data'!X92:X93),0))</f>
        <v>0</v>
      </c>
      <c r="Y171" s="117">
        <f>IF(embedded_emissions_cost="no",0,IF(OR(pathway="biogas ccs", pathway="normal ccs")=TRUE,SUM('Life Cycle Assessment Data'!Y92:Y93),0))</f>
        <v>0</v>
      </c>
      <c r="Z171" s="117">
        <f>IF(embedded_emissions_cost="no",0,IF(OR(pathway="biogas ccs", pathway="normal ccs")=TRUE,SUM('Life Cycle Assessment Data'!Z92:Z93),0))</f>
        <v>0</v>
      </c>
      <c r="AA171" s="117">
        <f>IF(embedded_emissions_cost="no",0,IF(OR(pathway="biogas ccs", pathway="normal ccs")=TRUE,SUM('Life Cycle Assessment Data'!AA92:AA93),0))</f>
        <v>0</v>
      </c>
      <c r="AB171" s="117">
        <f>IF(embedded_emissions_cost="no",0,IF(OR(pathway="biogas ccs", pathway="normal ccs")=TRUE,SUM('Life Cycle Assessment Data'!AB92:AB93),0))</f>
        <v>0</v>
      </c>
      <c r="AC171" s="117">
        <f>IF(embedded_emissions_cost="no",0,IF(OR(pathway="biogas ccs", pathway="normal ccs")=TRUE,SUM('Life Cycle Assessment Data'!AC92:AC93),0))</f>
        <v>0</v>
      </c>
      <c r="AD171" s="117">
        <f>IF(embedded_emissions_cost="no",0,IF(OR(pathway="biogas ccs", pathway="normal ccs")=TRUE,SUM('Life Cycle Assessment Data'!AD92:AD93),0))</f>
        <v>0</v>
      </c>
      <c r="AE171" s="117">
        <f>IF(embedded_emissions_cost="no",0,IF(OR(pathway="biogas ccs", pathway="normal ccs")=TRUE,SUM('Life Cycle Assessment Data'!AE92:AE93),0))</f>
        <v>0</v>
      </c>
      <c r="AF171" s="117">
        <f>IF(embedded_emissions_cost="no",0,IF(OR(pathway="biogas ccs", pathway="normal ccs")=TRUE,SUM('Life Cycle Assessment Data'!AF92:AF93),0))</f>
        <v>0</v>
      </c>
      <c r="AG171" s="117">
        <f>IF(embedded_emissions_cost="no",0,IF(OR(pathway="biogas ccs", pathway="normal ccs")=TRUE,SUM('Life Cycle Assessment Data'!AG92:AG93),0))</f>
        <v>0</v>
      </c>
      <c r="AH171" s="117">
        <f>IF(embedded_emissions_cost="no",0,IF(OR(pathway="biogas ccs", pathway="normal ccs")=TRUE,SUM('Life Cycle Assessment Data'!AH92:AH93),0))</f>
        <v>0</v>
      </c>
      <c r="AI171" s="117">
        <f>IF(embedded_emissions_cost="no",0,IF(OR(pathway="biogas ccs", pathway="normal ccs")=TRUE,SUM('Life Cycle Assessment Data'!AI92:AI93),0))</f>
        <v>0</v>
      </c>
      <c r="AJ171" s="117">
        <f>IF(embedded_emissions_cost="no",0,IF(OR(pathway="biogas ccs", pathway="normal ccs")=TRUE,SUM('Life Cycle Assessment Data'!AJ92:AJ93),0))</f>
        <v>0</v>
      </c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s="30" customFormat="1" outlineLevel="1" x14ac:dyDescent="0.25">
      <c r="A172"/>
      <c r="B172" s="18" t="s">
        <v>192</v>
      </c>
      <c r="C172" s="117">
        <f>IF(AND(embedded_emissions_cost="yes",pathway="shutdown")=TRUE,'Life Cycle Assessment Data'!C94,0)</f>
        <v>0</v>
      </c>
      <c r="D172" s="117">
        <f>IF(AND(embedded_emissions_cost="yes",pathway="shutdown")=TRUE,'Life Cycle Assessment Data'!D94,0)</f>
        <v>0</v>
      </c>
      <c r="E172" s="117">
        <f>IF(AND(embedded_emissions_cost="yes",pathway="shutdown")=TRUE,'Life Cycle Assessment Data'!E94,0)</f>
        <v>0</v>
      </c>
      <c r="F172" s="117">
        <f>IF(AND(embedded_emissions_cost="yes",pathway="shutdown")=TRUE,'Life Cycle Assessment Data'!F94,0)</f>
        <v>0</v>
      </c>
      <c r="G172" s="117">
        <f>IF(AND(embedded_emissions_cost="yes",pathway="shutdown")=TRUE,'Life Cycle Assessment Data'!G94,0)</f>
        <v>0</v>
      </c>
      <c r="H172" s="117">
        <f>IF(AND(embedded_emissions_cost="yes",pathway="shutdown")=TRUE,'Life Cycle Assessment Data'!H94,0)</f>
        <v>0</v>
      </c>
      <c r="I172" s="117">
        <f>IF(AND(embedded_emissions_cost="yes",pathway="shutdown")=TRUE,'Life Cycle Assessment Data'!I94,0)</f>
        <v>0</v>
      </c>
      <c r="J172" s="117">
        <f>IF(AND(embedded_emissions_cost="yes",pathway="shutdown")=TRUE,'Life Cycle Assessment Data'!J94,0)</f>
        <v>0</v>
      </c>
      <c r="K172" s="117">
        <f>IF(AND(embedded_emissions_cost="yes",pathway="shutdown")=TRUE,'Life Cycle Assessment Data'!K94,0)</f>
        <v>0</v>
      </c>
      <c r="L172" s="117">
        <f>IF(AND(embedded_emissions_cost="yes",pathway="shutdown")=TRUE,'Life Cycle Assessment Data'!L94,0)</f>
        <v>0</v>
      </c>
      <c r="M172" s="117">
        <f>IF(AND(embedded_emissions_cost="yes",pathway="shutdown")=TRUE,'Life Cycle Assessment Data'!M94,0)</f>
        <v>0</v>
      </c>
      <c r="N172" s="117">
        <f>IF(AND(embedded_emissions_cost="yes",pathway="shutdown")=TRUE,'Life Cycle Assessment Data'!N94,0)</f>
        <v>0</v>
      </c>
      <c r="O172" s="117">
        <f>IF(AND(embedded_emissions_cost="yes",pathway="shutdown")=TRUE,'Life Cycle Assessment Data'!O94,0)</f>
        <v>0</v>
      </c>
      <c r="P172" s="117">
        <f>IF(AND(embedded_emissions_cost="yes",pathway="shutdown")=TRUE,'Life Cycle Assessment Data'!P94,0)</f>
        <v>0</v>
      </c>
      <c r="Q172" s="117">
        <f>IF(AND(embedded_emissions_cost="yes",pathway="shutdown")=TRUE,'Life Cycle Assessment Data'!Q94,0)</f>
        <v>0</v>
      </c>
      <c r="R172" s="117">
        <f>IF(AND(embedded_emissions_cost="yes",pathway="shutdown")=TRUE,'Life Cycle Assessment Data'!R94,0)</f>
        <v>0</v>
      </c>
      <c r="S172" s="117">
        <f>IF(AND(embedded_emissions_cost="yes",pathway="shutdown")=TRUE,'Life Cycle Assessment Data'!S94,0)</f>
        <v>0</v>
      </c>
      <c r="T172" s="117">
        <f>IF(AND(embedded_emissions_cost="yes",pathway="shutdown")=TRUE,'Life Cycle Assessment Data'!T94,0)</f>
        <v>0</v>
      </c>
      <c r="U172" s="117">
        <f>IF(AND(embedded_emissions_cost="yes",pathway="shutdown")=TRUE,'Life Cycle Assessment Data'!U94,0)</f>
        <v>0</v>
      </c>
      <c r="V172" s="117">
        <f>IF(AND(embedded_emissions_cost="yes",pathway="shutdown")=TRUE,'Life Cycle Assessment Data'!V94,0)</f>
        <v>0</v>
      </c>
      <c r="W172" s="117">
        <f>IF(AND(embedded_emissions_cost="yes",pathway="shutdown")=TRUE,'Life Cycle Assessment Data'!W94,0)</f>
        <v>0</v>
      </c>
      <c r="X172" s="117">
        <f>IF(AND(embedded_emissions_cost="yes",pathway="shutdown")=TRUE,'Life Cycle Assessment Data'!X94,0)</f>
        <v>0</v>
      </c>
      <c r="Y172" s="117">
        <f>IF(AND(embedded_emissions_cost="yes",pathway="shutdown")=TRUE,'Life Cycle Assessment Data'!Y94,0)</f>
        <v>0</v>
      </c>
      <c r="Z172" s="117">
        <f>IF(AND(embedded_emissions_cost="yes",pathway="shutdown")=TRUE,'Life Cycle Assessment Data'!Z94,0)</f>
        <v>0</v>
      </c>
      <c r="AA172" s="117">
        <f>IF(AND(embedded_emissions_cost="yes",pathway="shutdown")=TRUE,'Life Cycle Assessment Data'!AA94,0)</f>
        <v>0</v>
      </c>
      <c r="AB172" s="117">
        <f>IF(AND(embedded_emissions_cost="yes",pathway="shutdown")=TRUE,'Life Cycle Assessment Data'!AB94,0)</f>
        <v>0</v>
      </c>
      <c r="AC172" s="117">
        <f>IF(AND(embedded_emissions_cost="yes",pathway="shutdown")=TRUE,'Life Cycle Assessment Data'!AC94,0)</f>
        <v>0</v>
      </c>
      <c r="AD172" s="117">
        <f>IF(AND(embedded_emissions_cost="yes",pathway="shutdown")=TRUE,'Life Cycle Assessment Data'!AD94,0)</f>
        <v>0</v>
      </c>
      <c r="AE172" s="117">
        <f>IF(AND(embedded_emissions_cost="yes",pathway="shutdown")=TRUE,'Life Cycle Assessment Data'!AE94,0)</f>
        <v>0</v>
      </c>
      <c r="AF172" s="117">
        <f>IF(AND(embedded_emissions_cost="yes",pathway="shutdown")=TRUE,'Life Cycle Assessment Data'!AF94,0)</f>
        <v>0</v>
      </c>
      <c r="AG172" s="117">
        <f>IF(AND(embedded_emissions_cost="yes",pathway="shutdown")=TRUE,'Life Cycle Assessment Data'!AG94,0)</f>
        <v>0</v>
      </c>
      <c r="AH172" s="117">
        <f>IF(AND(embedded_emissions_cost="yes",pathway="shutdown")=TRUE,'Life Cycle Assessment Data'!AH94,0)</f>
        <v>0</v>
      </c>
      <c r="AI172" s="117">
        <f>IF(AND(embedded_emissions_cost="yes",pathway="shutdown")=TRUE,'Life Cycle Assessment Data'!AI94,0)</f>
        <v>0</v>
      </c>
      <c r="AJ172" s="117">
        <f>IF(AND(embedded_emissions_cost="yes",pathway="shutdown")=TRUE,'Life Cycle Assessment Data'!AJ94,0)</f>
        <v>0</v>
      </c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s="30" customFormat="1" outlineLevel="1" x14ac:dyDescent="0.25">
      <c r="A173"/>
      <c r="B173" s="18" t="s">
        <v>81</v>
      </c>
      <c r="C173" s="117">
        <v>0</v>
      </c>
      <c r="D173" s="117">
        <v>0</v>
      </c>
      <c r="E173" s="117">
        <v>0</v>
      </c>
      <c r="F173" s="226">
        <f>SUM(IF(ng_production_cost="yes",'Life Cycle Assessment Data'!F96*C128+IF(embedded_emissions_cost="yes",'Life Cycle Assessment Data'!F95,0)),IF(ng_combustion_cost="yes",'Life Cycle Assessment Data'!F101,0)*C128)</f>
        <v>2.473220875519124E-7</v>
      </c>
      <c r="G173" s="226">
        <f>SUM(IF(ng_production_cost="yes",'Life Cycle Assessment Data'!G96*D128+IF(embedded_emissions_cost="yes",'Life Cycle Assessment Data'!G95,0)),IF(ng_combustion_cost="yes",'Life Cycle Assessment Data'!G101,0)*D128)</f>
        <v>2.473220875519124E-7</v>
      </c>
      <c r="H173" s="226">
        <f>SUM(IF(ng_production_cost="yes",'Life Cycle Assessment Data'!H96*E128+IF(embedded_emissions_cost="yes",'Life Cycle Assessment Data'!H95,0)),IF(ng_combustion_cost="yes",'Life Cycle Assessment Data'!H101,0)*E128)</f>
        <v>2.473220875519124E-7</v>
      </c>
      <c r="I173" s="226">
        <f>SUM(IF(ng_production_cost="yes",'Life Cycle Assessment Data'!I96*F128+IF(embedded_emissions_cost="yes",'Life Cycle Assessment Data'!I95,0)),IF(ng_combustion_cost="yes",'Life Cycle Assessment Data'!I101,0)*F128)</f>
        <v>2.473220875519124E-7</v>
      </c>
      <c r="J173" s="226">
        <f>SUM(IF(ng_production_cost="yes",'Life Cycle Assessment Data'!J96*G128+IF(embedded_emissions_cost="yes",'Life Cycle Assessment Data'!J95,0)),IF(ng_combustion_cost="yes",'Life Cycle Assessment Data'!J101,0)*G128)</f>
        <v>2.473220875519124E-7</v>
      </c>
      <c r="K173" s="226">
        <f>SUM(IF(ng_production_cost="yes",'Life Cycle Assessment Data'!K96*H128+IF(embedded_emissions_cost="yes",'Life Cycle Assessment Data'!K95,0)),IF(ng_combustion_cost="yes",'Life Cycle Assessment Data'!K101,0)*H128)</f>
        <v>2.473220875519124E-7</v>
      </c>
      <c r="L173" s="226">
        <f>SUM(IF(ng_production_cost="yes",'Life Cycle Assessment Data'!L96*I128+IF(embedded_emissions_cost="yes",'Life Cycle Assessment Data'!L95,0)),IF(ng_combustion_cost="yes",'Life Cycle Assessment Data'!L101,0)*I128)</f>
        <v>2.473220875519124E-7</v>
      </c>
      <c r="M173" s="226">
        <f>SUM(IF(ng_production_cost="yes",'Life Cycle Assessment Data'!M96*J128+IF(embedded_emissions_cost="yes",'Life Cycle Assessment Data'!M95,0)),IF(ng_combustion_cost="yes",'Life Cycle Assessment Data'!M101,0)*J128)</f>
        <v>2.473220875519124E-7</v>
      </c>
      <c r="N173" s="226">
        <f>SUM(IF(ng_production_cost="yes",'Life Cycle Assessment Data'!N96*K128+IF(embedded_emissions_cost="yes",'Life Cycle Assessment Data'!N95,0)),IF(ng_combustion_cost="yes",'Life Cycle Assessment Data'!N101,0)*K128)</f>
        <v>2.473220875519124E-7</v>
      </c>
      <c r="O173" s="226">
        <f>SUM(IF(ng_production_cost="yes",'Life Cycle Assessment Data'!O96*L128+IF(embedded_emissions_cost="yes",'Life Cycle Assessment Data'!O95,0)),IF(ng_combustion_cost="yes",'Life Cycle Assessment Data'!O101,0)*L128)</f>
        <v>2.473220875519124E-7</v>
      </c>
      <c r="P173" s="226">
        <f>SUM(IF(ng_production_cost="yes",'Life Cycle Assessment Data'!P96*M128+IF(embedded_emissions_cost="yes",'Life Cycle Assessment Data'!P95,0)),IF(ng_combustion_cost="yes",'Life Cycle Assessment Data'!P101,0)*M128)</f>
        <v>2.473220875519124E-7</v>
      </c>
      <c r="Q173" s="226">
        <f>SUM(IF(ng_production_cost="yes",'Life Cycle Assessment Data'!Q96*N128+IF(embedded_emissions_cost="yes",'Life Cycle Assessment Data'!Q95,0)),IF(ng_combustion_cost="yes",'Life Cycle Assessment Data'!Q101,0)*N128)</f>
        <v>2.473220875519124E-7</v>
      </c>
      <c r="R173" s="226">
        <f>SUM(IF(ng_production_cost="yes",'Life Cycle Assessment Data'!R96*O128+IF(embedded_emissions_cost="yes",'Life Cycle Assessment Data'!R95,0)),IF(ng_combustion_cost="yes",'Life Cycle Assessment Data'!R101,0)*O128)</f>
        <v>2.473220875519124E-7</v>
      </c>
      <c r="S173" s="226">
        <f>SUM(IF(ng_production_cost="yes",'Life Cycle Assessment Data'!S96*P128+IF(embedded_emissions_cost="yes",'Life Cycle Assessment Data'!S95,0)),IF(ng_combustion_cost="yes",'Life Cycle Assessment Data'!S101,0)*P128)</f>
        <v>2.473220875519124E-7</v>
      </c>
      <c r="T173" s="226">
        <f>SUM(IF(ng_production_cost="yes",'Life Cycle Assessment Data'!T96*Q128+IF(embedded_emissions_cost="yes",'Life Cycle Assessment Data'!T95,0)),IF(ng_combustion_cost="yes",'Life Cycle Assessment Data'!T101,0)*Q128)</f>
        <v>2.473220875519124E-7</v>
      </c>
      <c r="U173" s="226">
        <f>SUM(IF(ng_production_cost="yes",'Life Cycle Assessment Data'!U96*R128+IF(embedded_emissions_cost="yes",'Life Cycle Assessment Data'!U95,0)),IF(ng_combustion_cost="yes",'Life Cycle Assessment Data'!U101,0)*R128)</f>
        <v>2.473220875519124E-7</v>
      </c>
      <c r="V173" s="226">
        <f>SUM(IF(ng_production_cost="yes",'Life Cycle Assessment Data'!V96*S128+IF(embedded_emissions_cost="yes",'Life Cycle Assessment Data'!V95,0)),IF(ng_combustion_cost="yes",'Life Cycle Assessment Data'!V101,0)*S128)</f>
        <v>2.473220875519124E-7</v>
      </c>
      <c r="W173" s="226">
        <f>SUM(IF(ng_production_cost="yes",'Life Cycle Assessment Data'!W96*T128+IF(embedded_emissions_cost="yes",'Life Cycle Assessment Data'!W95,0)),IF(ng_combustion_cost="yes",'Life Cycle Assessment Data'!W101,0)*T128)</f>
        <v>2.473220875519124E-7</v>
      </c>
      <c r="X173" s="226">
        <f>SUM(IF(ng_production_cost="yes",'Life Cycle Assessment Data'!X96*U128+IF(embedded_emissions_cost="yes",'Life Cycle Assessment Data'!X95,0)),IF(ng_combustion_cost="yes",'Life Cycle Assessment Data'!X101,0)*U128)</f>
        <v>2.473220875519124E-7</v>
      </c>
      <c r="Y173" s="226">
        <f>SUM(IF(ng_production_cost="yes",'Life Cycle Assessment Data'!Y96*V128+IF(embedded_emissions_cost="yes",'Life Cycle Assessment Data'!Y95,0)),IF(ng_combustion_cost="yes",'Life Cycle Assessment Data'!Y101,0)*V128)</f>
        <v>2.473220875519124E-7</v>
      </c>
      <c r="Z173" s="226">
        <f>SUM(IF(ng_production_cost="yes",'Life Cycle Assessment Data'!Z96*W128+IF(embedded_emissions_cost="yes",'Life Cycle Assessment Data'!Z95,0)),IF(ng_combustion_cost="yes",'Life Cycle Assessment Data'!Z101,0)*W128)</f>
        <v>2.473220875519124E-7</v>
      </c>
      <c r="AA173" s="226">
        <f>SUM(IF(ng_production_cost="yes",'Life Cycle Assessment Data'!AA96*X128+IF(embedded_emissions_cost="yes",'Life Cycle Assessment Data'!AA95,0)),IF(ng_combustion_cost="yes",'Life Cycle Assessment Data'!AA101,0)*X128)</f>
        <v>2.473220875519124E-7</v>
      </c>
      <c r="AB173" s="226">
        <f>SUM(IF(ng_production_cost="yes",'Life Cycle Assessment Data'!AB96*Y128+IF(embedded_emissions_cost="yes",'Life Cycle Assessment Data'!AB95,0)),IF(ng_combustion_cost="yes",'Life Cycle Assessment Data'!AB101,0)*Y128)</f>
        <v>2.473220875519124E-7</v>
      </c>
      <c r="AC173" s="226">
        <f>SUM(IF(ng_production_cost="yes",'Life Cycle Assessment Data'!AC96*Z128+IF(embedded_emissions_cost="yes",'Life Cycle Assessment Data'!AC95,0)),IF(ng_combustion_cost="yes",'Life Cycle Assessment Data'!AC101,0)*Z128)</f>
        <v>2.473220875519124E-7</v>
      </c>
      <c r="AD173" s="226">
        <f>SUM(IF(ng_production_cost="yes",'Life Cycle Assessment Data'!AD96*AA128+IF(embedded_emissions_cost="yes",'Life Cycle Assessment Data'!AD95,0)),IF(ng_combustion_cost="yes",'Life Cycle Assessment Data'!AD101,0)*AA128)</f>
        <v>2.473220875519124E-7</v>
      </c>
      <c r="AE173" s="226">
        <f>SUM(IF(ng_production_cost="yes",'Life Cycle Assessment Data'!AE96*AB128+IF(embedded_emissions_cost="yes",'Life Cycle Assessment Data'!AE95,0)),IF(ng_combustion_cost="yes",'Life Cycle Assessment Data'!AE101,0)*AB128)</f>
        <v>2.473220875519124E-7</v>
      </c>
      <c r="AF173" s="226">
        <f>SUM(IF(ng_production_cost="yes",'Life Cycle Assessment Data'!AF96*AC128+IF(embedded_emissions_cost="yes",'Life Cycle Assessment Data'!AF95,0)),IF(ng_combustion_cost="yes",'Life Cycle Assessment Data'!AF101,0)*AC128)</f>
        <v>2.473220875519124E-7</v>
      </c>
      <c r="AG173" s="226">
        <f>SUM(IF(ng_production_cost="yes",'Life Cycle Assessment Data'!AG96*AD128+IF(embedded_emissions_cost="yes",'Life Cycle Assessment Data'!AG95,0)),IF(ng_combustion_cost="yes",'Life Cycle Assessment Data'!AG101,0)*AD128)</f>
        <v>2.473220875519124E-7</v>
      </c>
      <c r="AH173" s="226">
        <f>SUM(IF(ng_production_cost="yes",'Life Cycle Assessment Data'!AH96*AE128+IF(embedded_emissions_cost="yes",'Life Cycle Assessment Data'!AH95,0)),IF(ng_combustion_cost="yes",'Life Cycle Assessment Data'!AH101,0)*AE128)</f>
        <v>2.473220875519124E-7</v>
      </c>
      <c r="AI173" s="226">
        <f>SUM(IF(ng_production_cost="yes",'Life Cycle Assessment Data'!AI96*AF128+IF(embedded_emissions_cost="yes",'Life Cycle Assessment Data'!AI95,0)),IF(ng_combustion_cost="yes",'Life Cycle Assessment Data'!AI101,0)*AF128)</f>
        <v>2.473220875519124E-7</v>
      </c>
      <c r="AJ173" s="226">
        <f>SUM(IF(ng_production_cost="yes",'Life Cycle Assessment Data'!AJ96*AG128+IF(embedded_emissions_cost="yes",'Life Cycle Assessment Data'!AJ95,0)),IF(ng_combustion_cost="yes",'Life Cycle Assessment Data'!AJ101,0)*AG128)</f>
        <v>2.473220875519124E-7</v>
      </c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s="30" customFormat="1" outlineLevel="1" x14ac:dyDescent="0.25">
      <c r="A174"/>
      <c r="B174" s="15" t="s">
        <v>82</v>
      </c>
      <c r="C174" s="117">
        <v>0</v>
      </c>
      <c r="D174" s="117">
        <v>0</v>
      </c>
      <c r="E174" s="117">
        <v>0</v>
      </c>
      <c r="F174" s="226">
        <f>SUM(IF(ng_production_cost="yes",'Life Cycle Assessment Data'!F98*C129+IF(embedded_emissions_cost="yes",'Life Cycle Assessment Data'!F97,0)),IF(ng_combustion_cost="yes",'Life Cycle Assessment Data'!F102,0)*C129)</f>
        <v>1.3215327897061738E-11</v>
      </c>
      <c r="G174" s="226">
        <f>SUM(IF(ng_production_cost="yes",'Life Cycle Assessment Data'!G98*D129+IF(embedded_emissions_cost="yes",'Life Cycle Assessment Data'!G97,0)),IF(ng_combustion_cost="yes",'Life Cycle Assessment Data'!G102,0)*D129)</f>
        <v>1.3215327897061738E-11</v>
      </c>
      <c r="H174" s="226">
        <f>SUM(IF(ng_production_cost="yes",'Life Cycle Assessment Data'!H98*E129+IF(embedded_emissions_cost="yes",'Life Cycle Assessment Data'!H97,0)),IF(ng_combustion_cost="yes",'Life Cycle Assessment Data'!H102,0)*E129)</f>
        <v>1.3215327897061738E-11</v>
      </c>
      <c r="I174" s="226">
        <f>SUM(IF(ng_production_cost="yes",'Life Cycle Assessment Data'!I98*F129+IF(embedded_emissions_cost="yes",'Life Cycle Assessment Data'!I97,0)),IF(ng_combustion_cost="yes",'Life Cycle Assessment Data'!I102,0)*F129)</f>
        <v>1.3215327897061738E-11</v>
      </c>
      <c r="J174" s="226">
        <f>SUM(IF(ng_production_cost="yes",'Life Cycle Assessment Data'!J98*G129+IF(embedded_emissions_cost="yes",'Life Cycle Assessment Data'!J97,0)),IF(ng_combustion_cost="yes",'Life Cycle Assessment Data'!J102,0)*G129)</f>
        <v>1.3215327897061738E-11</v>
      </c>
      <c r="K174" s="226">
        <f>SUM(IF(ng_production_cost="yes",'Life Cycle Assessment Data'!K98*H129+IF(embedded_emissions_cost="yes",'Life Cycle Assessment Data'!K97,0)),IF(ng_combustion_cost="yes",'Life Cycle Assessment Data'!K102,0)*H129)</f>
        <v>1.3215327897061738E-11</v>
      </c>
      <c r="L174" s="226">
        <f>SUM(IF(ng_production_cost="yes",'Life Cycle Assessment Data'!L98*I129+IF(embedded_emissions_cost="yes",'Life Cycle Assessment Data'!L97,0)),IF(ng_combustion_cost="yes",'Life Cycle Assessment Data'!L102,0)*I129)</f>
        <v>1.3215327897061738E-11</v>
      </c>
      <c r="M174" s="226">
        <f>SUM(IF(ng_production_cost="yes",'Life Cycle Assessment Data'!M98*J129+IF(embedded_emissions_cost="yes",'Life Cycle Assessment Data'!M97,0)),IF(ng_combustion_cost="yes",'Life Cycle Assessment Data'!M102,0)*J129)</f>
        <v>1.3215327897061738E-11</v>
      </c>
      <c r="N174" s="226">
        <f>SUM(IF(ng_production_cost="yes",'Life Cycle Assessment Data'!N98*K129+IF(embedded_emissions_cost="yes",'Life Cycle Assessment Data'!N97,0)),IF(ng_combustion_cost="yes",'Life Cycle Assessment Data'!N102,0)*K129)</f>
        <v>1.3215327897061738E-11</v>
      </c>
      <c r="O174" s="226">
        <f>SUM(IF(ng_production_cost="yes",'Life Cycle Assessment Data'!O98*L129+IF(embedded_emissions_cost="yes",'Life Cycle Assessment Data'!O97,0)),IF(ng_combustion_cost="yes",'Life Cycle Assessment Data'!O102,0)*L129)</f>
        <v>1.3215327897061738E-11</v>
      </c>
      <c r="P174" s="226">
        <f>SUM(IF(ng_production_cost="yes",'Life Cycle Assessment Data'!P98*M129+IF(embedded_emissions_cost="yes",'Life Cycle Assessment Data'!P97,0)),IF(ng_combustion_cost="yes",'Life Cycle Assessment Data'!P102,0)*M129)</f>
        <v>1.3215327897061738E-11</v>
      </c>
      <c r="Q174" s="226">
        <f>SUM(IF(ng_production_cost="yes",'Life Cycle Assessment Data'!Q98*N129+IF(embedded_emissions_cost="yes",'Life Cycle Assessment Data'!Q97,0)),IF(ng_combustion_cost="yes",'Life Cycle Assessment Data'!Q102,0)*N129)</f>
        <v>1.3215327897061738E-11</v>
      </c>
      <c r="R174" s="226">
        <f>SUM(IF(ng_production_cost="yes",'Life Cycle Assessment Data'!R98*O129+IF(embedded_emissions_cost="yes",'Life Cycle Assessment Data'!R97,0)),IF(ng_combustion_cost="yes",'Life Cycle Assessment Data'!R102,0)*O129)</f>
        <v>1.3215327897061738E-11</v>
      </c>
      <c r="S174" s="226">
        <f>SUM(IF(ng_production_cost="yes",'Life Cycle Assessment Data'!S98*P129+IF(embedded_emissions_cost="yes",'Life Cycle Assessment Data'!S97,0)),IF(ng_combustion_cost="yes",'Life Cycle Assessment Data'!S102,0)*P129)</f>
        <v>1.3215327897061738E-11</v>
      </c>
      <c r="T174" s="226">
        <f>SUM(IF(ng_production_cost="yes",'Life Cycle Assessment Data'!T98*Q129+IF(embedded_emissions_cost="yes",'Life Cycle Assessment Data'!T97,0)),IF(ng_combustion_cost="yes",'Life Cycle Assessment Data'!T102,0)*Q129)</f>
        <v>1.3215327897061738E-11</v>
      </c>
      <c r="U174" s="226">
        <f>SUM(IF(ng_production_cost="yes",'Life Cycle Assessment Data'!U98*R129+IF(embedded_emissions_cost="yes",'Life Cycle Assessment Data'!U97,0)),IF(ng_combustion_cost="yes",'Life Cycle Assessment Data'!U102,0)*R129)</f>
        <v>1.3215327897061738E-11</v>
      </c>
      <c r="V174" s="226">
        <f>SUM(IF(ng_production_cost="yes",'Life Cycle Assessment Data'!V98*S129+IF(embedded_emissions_cost="yes",'Life Cycle Assessment Data'!V97,0)),IF(ng_combustion_cost="yes",'Life Cycle Assessment Data'!V102,0)*S129)</f>
        <v>1.3215327897061738E-11</v>
      </c>
      <c r="W174" s="226">
        <f>SUM(IF(ng_production_cost="yes",'Life Cycle Assessment Data'!W98*T129+IF(embedded_emissions_cost="yes",'Life Cycle Assessment Data'!W97,0)),IF(ng_combustion_cost="yes",'Life Cycle Assessment Data'!W102,0)*T129)</f>
        <v>1.3215327897061738E-11</v>
      </c>
      <c r="X174" s="226">
        <f>SUM(IF(ng_production_cost="yes",'Life Cycle Assessment Data'!X98*U129+IF(embedded_emissions_cost="yes",'Life Cycle Assessment Data'!X97,0)),IF(ng_combustion_cost="yes",'Life Cycle Assessment Data'!X102,0)*U129)</f>
        <v>1.3215327897061738E-11</v>
      </c>
      <c r="Y174" s="226">
        <f>SUM(IF(ng_production_cost="yes",'Life Cycle Assessment Data'!Y98*V129+IF(embedded_emissions_cost="yes",'Life Cycle Assessment Data'!Y97,0)),IF(ng_combustion_cost="yes",'Life Cycle Assessment Data'!Y102,0)*V129)</f>
        <v>1.3215327897061738E-11</v>
      </c>
      <c r="Z174" s="226">
        <f>SUM(IF(ng_production_cost="yes",'Life Cycle Assessment Data'!Z98*W129+IF(embedded_emissions_cost="yes",'Life Cycle Assessment Data'!Z97,0)),IF(ng_combustion_cost="yes",'Life Cycle Assessment Data'!Z102,0)*W129)</f>
        <v>1.3215327897061738E-11</v>
      </c>
      <c r="AA174" s="226">
        <f>SUM(IF(ng_production_cost="yes",'Life Cycle Assessment Data'!AA98*X129+IF(embedded_emissions_cost="yes",'Life Cycle Assessment Data'!AA97,0)),IF(ng_combustion_cost="yes",'Life Cycle Assessment Data'!AA102,0)*X129)</f>
        <v>1.3215327897061738E-11</v>
      </c>
      <c r="AB174" s="226">
        <f>SUM(IF(ng_production_cost="yes",'Life Cycle Assessment Data'!AB98*Y129+IF(embedded_emissions_cost="yes",'Life Cycle Assessment Data'!AB97,0)),IF(ng_combustion_cost="yes",'Life Cycle Assessment Data'!AB102,0)*Y129)</f>
        <v>1.3215327897061738E-11</v>
      </c>
      <c r="AC174" s="226">
        <f>SUM(IF(ng_production_cost="yes",'Life Cycle Assessment Data'!AC98*Z129+IF(embedded_emissions_cost="yes",'Life Cycle Assessment Data'!AC97,0)),IF(ng_combustion_cost="yes",'Life Cycle Assessment Data'!AC102,0)*Z129)</f>
        <v>1.3215327897061738E-11</v>
      </c>
      <c r="AD174" s="226">
        <f>SUM(IF(ng_production_cost="yes",'Life Cycle Assessment Data'!AD98*AA129+IF(embedded_emissions_cost="yes",'Life Cycle Assessment Data'!AD97,0)),IF(ng_combustion_cost="yes",'Life Cycle Assessment Data'!AD102,0)*AA129)</f>
        <v>1.3215327897061738E-11</v>
      </c>
      <c r="AE174" s="226">
        <f>SUM(IF(ng_production_cost="yes",'Life Cycle Assessment Data'!AE98*AB129+IF(embedded_emissions_cost="yes",'Life Cycle Assessment Data'!AE97,0)),IF(ng_combustion_cost="yes",'Life Cycle Assessment Data'!AE102,0)*AB129)</f>
        <v>1.3215327897061738E-11</v>
      </c>
      <c r="AF174" s="226">
        <f>SUM(IF(ng_production_cost="yes",'Life Cycle Assessment Data'!AF98*AC129+IF(embedded_emissions_cost="yes",'Life Cycle Assessment Data'!AF97,0)),IF(ng_combustion_cost="yes",'Life Cycle Assessment Data'!AF102,0)*AC129)</f>
        <v>1.3215327897061738E-11</v>
      </c>
      <c r="AG174" s="226">
        <f>SUM(IF(ng_production_cost="yes",'Life Cycle Assessment Data'!AG98*AD129+IF(embedded_emissions_cost="yes",'Life Cycle Assessment Data'!AG97,0)),IF(ng_combustion_cost="yes",'Life Cycle Assessment Data'!AG102,0)*AD129)</f>
        <v>1.3215327897061738E-11</v>
      </c>
      <c r="AH174" s="226">
        <f>SUM(IF(ng_production_cost="yes",'Life Cycle Assessment Data'!AH98*AE129+IF(embedded_emissions_cost="yes",'Life Cycle Assessment Data'!AH97,0)),IF(ng_combustion_cost="yes",'Life Cycle Assessment Data'!AH102,0)*AE129)</f>
        <v>1.3215327897061738E-11</v>
      </c>
      <c r="AI174" s="226">
        <f>SUM(IF(ng_production_cost="yes",'Life Cycle Assessment Data'!AI98*AF129+IF(embedded_emissions_cost="yes",'Life Cycle Assessment Data'!AI97,0)),IF(ng_combustion_cost="yes",'Life Cycle Assessment Data'!AI102,0)*AF129)</f>
        <v>1.3215327897061738E-11</v>
      </c>
      <c r="AJ174" s="226">
        <f>SUM(IF(ng_production_cost="yes",'Life Cycle Assessment Data'!AJ98*AG129+IF(embedded_emissions_cost="yes",'Life Cycle Assessment Data'!AJ97,0)),IF(ng_combustion_cost="yes",'Life Cycle Assessment Data'!AJ102,0)*AG129)</f>
        <v>1.3215327897061738E-11</v>
      </c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s="30" customFormat="1" outlineLevel="1" x14ac:dyDescent="0.25">
      <c r="A175"/>
      <c r="B175" s="15" t="s">
        <v>83</v>
      </c>
      <c r="C175" s="117">
        <v>0</v>
      </c>
      <c r="D175" s="117">
        <v>0</v>
      </c>
      <c r="E175" s="117">
        <v>0</v>
      </c>
      <c r="F175" s="226">
        <f>'Life Cycle Assessment Data'!F103*C130</f>
        <v>0</v>
      </c>
      <c r="G175" s="226">
        <f>'Life Cycle Assessment Data'!G103*D130</f>
        <v>0</v>
      </c>
      <c r="H175" s="226">
        <f>'Life Cycle Assessment Data'!H103*E130</f>
        <v>0</v>
      </c>
      <c r="I175" s="226">
        <f>'Life Cycle Assessment Data'!I103*F130</f>
        <v>0</v>
      </c>
      <c r="J175" s="226">
        <f>'Life Cycle Assessment Data'!J103*G130</f>
        <v>0</v>
      </c>
      <c r="K175" s="226">
        <f>'Life Cycle Assessment Data'!K103*H130</f>
        <v>0</v>
      </c>
      <c r="L175" s="226">
        <f>'Life Cycle Assessment Data'!L103*I130</f>
        <v>0</v>
      </c>
      <c r="M175" s="226">
        <f>'Life Cycle Assessment Data'!M103*J130</f>
        <v>0</v>
      </c>
      <c r="N175" s="226">
        <f>'Life Cycle Assessment Data'!N103*K130</f>
        <v>0</v>
      </c>
      <c r="O175" s="226">
        <f>'Life Cycle Assessment Data'!O103*L130</f>
        <v>0</v>
      </c>
      <c r="P175" s="226">
        <f>'Life Cycle Assessment Data'!P103*M130</f>
        <v>0</v>
      </c>
      <c r="Q175" s="226">
        <f>'Life Cycle Assessment Data'!Q103*N130</f>
        <v>0</v>
      </c>
      <c r="R175" s="226">
        <f>'Life Cycle Assessment Data'!R103*O130</f>
        <v>0</v>
      </c>
      <c r="S175" s="226">
        <f>'Life Cycle Assessment Data'!S103*P130</f>
        <v>0</v>
      </c>
      <c r="T175" s="226">
        <f>'Life Cycle Assessment Data'!T103*Q130</f>
        <v>0</v>
      </c>
      <c r="U175" s="226">
        <f>'Life Cycle Assessment Data'!U103*R130</f>
        <v>0</v>
      </c>
      <c r="V175" s="226">
        <f>'Life Cycle Assessment Data'!V103*S130</f>
        <v>0</v>
      </c>
      <c r="W175" s="226">
        <f>'Life Cycle Assessment Data'!W103*T130</f>
        <v>0</v>
      </c>
      <c r="X175" s="226">
        <f>'Life Cycle Assessment Data'!X103*U130</f>
        <v>0</v>
      </c>
      <c r="Y175" s="226">
        <f>'Life Cycle Assessment Data'!Y103*V130</f>
        <v>0</v>
      </c>
      <c r="Z175" s="226">
        <f>'Life Cycle Assessment Data'!Z103*W130</f>
        <v>0</v>
      </c>
      <c r="AA175" s="226">
        <f>'Life Cycle Assessment Data'!AA103*X130</f>
        <v>0</v>
      </c>
      <c r="AB175" s="226">
        <f>'Life Cycle Assessment Data'!AB103*Y130</f>
        <v>0</v>
      </c>
      <c r="AC175" s="226">
        <f>'Life Cycle Assessment Data'!AC103*Z130</f>
        <v>0</v>
      </c>
      <c r="AD175" s="226">
        <f>'Life Cycle Assessment Data'!AD103*AA130</f>
        <v>0</v>
      </c>
      <c r="AE175" s="226">
        <f>'Life Cycle Assessment Data'!AE103*AB130</f>
        <v>0</v>
      </c>
      <c r="AF175" s="226">
        <f>'Life Cycle Assessment Data'!AF103*AC130</f>
        <v>0</v>
      </c>
      <c r="AG175" s="226">
        <f>'Life Cycle Assessment Data'!AG103*AD130</f>
        <v>0</v>
      </c>
      <c r="AH175" s="226">
        <f>'Life Cycle Assessment Data'!AH103*AE130</f>
        <v>0</v>
      </c>
      <c r="AI175" s="226">
        <f>'Life Cycle Assessment Data'!AI103*AF130</f>
        <v>0</v>
      </c>
      <c r="AJ175" s="226">
        <f>'Life Cycle Assessment Data'!AJ103*AG130</f>
        <v>0</v>
      </c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s="30" customFormat="1" outlineLevel="1" x14ac:dyDescent="0.25">
      <c r="A176"/>
      <c r="B176" s="15" t="s">
        <v>84</v>
      </c>
      <c r="C176" s="117">
        <v>0</v>
      </c>
      <c r="D176" s="117">
        <v>0</v>
      </c>
      <c r="E176" s="117">
        <v>0</v>
      </c>
      <c r="F176" s="226">
        <f>IF(bio_production_cost="no",'Life Cycle Assessment Data'!F104*C137,SUM('Life Cycle Assessment Data'!F99,'Life Cycle Assessment Data'!F104)*C137)</f>
        <v>0</v>
      </c>
      <c r="G176" s="226">
        <f>IF(bio_production_cost="no",'Life Cycle Assessment Data'!G104*D137,SUM('Life Cycle Assessment Data'!G99,'Life Cycle Assessment Data'!G104)*D137)</f>
        <v>0</v>
      </c>
      <c r="H176" s="226">
        <f>IF(bio_production_cost="no",'Life Cycle Assessment Data'!H104*E137,SUM('Life Cycle Assessment Data'!H99,'Life Cycle Assessment Data'!H104)*E137)</f>
        <v>0</v>
      </c>
      <c r="I176" s="226">
        <f>IF(bio_production_cost="no",'Life Cycle Assessment Data'!I104*F137,SUM('Life Cycle Assessment Data'!I99,'Life Cycle Assessment Data'!I104)*F137)</f>
        <v>0</v>
      </c>
      <c r="J176" s="226">
        <f>IF(bio_production_cost="no",'Life Cycle Assessment Data'!J104*G137,SUM('Life Cycle Assessment Data'!J99,'Life Cycle Assessment Data'!J104)*G137)</f>
        <v>0</v>
      </c>
      <c r="K176" s="226">
        <f>IF(bio_production_cost="no",'Life Cycle Assessment Data'!K104*H137,SUM('Life Cycle Assessment Data'!K99,'Life Cycle Assessment Data'!K104)*H137)</f>
        <v>0</v>
      </c>
      <c r="L176" s="226">
        <f>IF(bio_production_cost="no",'Life Cycle Assessment Data'!L104*I137,SUM('Life Cycle Assessment Data'!L99,'Life Cycle Assessment Data'!L104)*I137)</f>
        <v>0</v>
      </c>
      <c r="M176" s="226">
        <f>IF(bio_production_cost="no",'Life Cycle Assessment Data'!M104*J137,SUM('Life Cycle Assessment Data'!M99,'Life Cycle Assessment Data'!M104)*J137)</f>
        <v>0</v>
      </c>
      <c r="N176" s="226">
        <f>IF(bio_production_cost="no",'Life Cycle Assessment Data'!N104*K137,SUM('Life Cycle Assessment Data'!N99,'Life Cycle Assessment Data'!N104)*K137)</f>
        <v>0</v>
      </c>
      <c r="O176" s="226">
        <f>IF(bio_production_cost="no",'Life Cycle Assessment Data'!O104*L137,SUM('Life Cycle Assessment Data'!O99,'Life Cycle Assessment Data'!O104)*L137)</f>
        <v>0</v>
      </c>
      <c r="P176" s="226">
        <f>IF(bio_production_cost="no",'Life Cycle Assessment Data'!P104*M137,SUM('Life Cycle Assessment Data'!P99,'Life Cycle Assessment Data'!P104)*M137)</f>
        <v>0</v>
      </c>
      <c r="Q176" s="226">
        <f>IF(bio_production_cost="no",'Life Cycle Assessment Data'!Q104*N137,SUM('Life Cycle Assessment Data'!Q99,'Life Cycle Assessment Data'!Q104)*N137)</f>
        <v>0</v>
      </c>
      <c r="R176" s="226">
        <f>IF(bio_production_cost="no",'Life Cycle Assessment Data'!R104*O137,SUM('Life Cycle Assessment Data'!R99,'Life Cycle Assessment Data'!R104)*O137)</f>
        <v>0</v>
      </c>
      <c r="S176" s="226">
        <f>IF(bio_production_cost="no",'Life Cycle Assessment Data'!S104*P137,SUM('Life Cycle Assessment Data'!S99,'Life Cycle Assessment Data'!S104)*P137)</f>
        <v>0</v>
      </c>
      <c r="T176" s="226">
        <f>IF(bio_production_cost="no",'Life Cycle Assessment Data'!T104*Q137,SUM('Life Cycle Assessment Data'!T99,'Life Cycle Assessment Data'!T104)*Q137)</f>
        <v>0</v>
      </c>
      <c r="U176" s="226">
        <f>IF(bio_production_cost="no",'Life Cycle Assessment Data'!U104*R137,SUM('Life Cycle Assessment Data'!U99,'Life Cycle Assessment Data'!U104)*R137)</f>
        <v>0</v>
      </c>
      <c r="V176" s="226">
        <f>IF(bio_production_cost="no",'Life Cycle Assessment Data'!V104*S137,SUM('Life Cycle Assessment Data'!V99,'Life Cycle Assessment Data'!V104)*S137)</f>
        <v>0</v>
      </c>
      <c r="W176" s="226">
        <f>IF(bio_production_cost="no",'Life Cycle Assessment Data'!W104*T137,SUM('Life Cycle Assessment Data'!W99,'Life Cycle Assessment Data'!W104)*T137)</f>
        <v>0</v>
      </c>
      <c r="X176" s="226">
        <f>IF(bio_production_cost="no",'Life Cycle Assessment Data'!X104*U137,SUM('Life Cycle Assessment Data'!X99,'Life Cycle Assessment Data'!X104)*U137)</f>
        <v>0</v>
      </c>
      <c r="Y176" s="226">
        <f>IF(bio_production_cost="no",'Life Cycle Assessment Data'!Y104*V137,SUM('Life Cycle Assessment Data'!Y99,'Life Cycle Assessment Data'!Y104)*V137)</f>
        <v>0</v>
      </c>
      <c r="Z176" s="226">
        <f>IF(bio_production_cost="no",'Life Cycle Assessment Data'!Z104*W137,SUM('Life Cycle Assessment Data'!Z99,'Life Cycle Assessment Data'!Z104)*W137)</f>
        <v>0</v>
      </c>
      <c r="AA176" s="226">
        <f>IF(bio_production_cost="no",'Life Cycle Assessment Data'!AA104*X137,SUM('Life Cycle Assessment Data'!AA99,'Life Cycle Assessment Data'!AA104)*X137)</f>
        <v>0</v>
      </c>
      <c r="AB176" s="226">
        <f>IF(bio_production_cost="no",'Life Cycle Assessment Data'!AB104*Y137,SUM('Life Cycle Assessment Data'!AB99,'Life Cycle Assessment Data'!AB104)*Y137)</f>
        <v>0</v>
      </c>
      <c r="AC176" s="226">
        <f>IF(bio_production_cost="no",'Life Cycle Assessment Data'!AC104*Z137,SUM('Life Cycle Assessment Data'!AC99,'Life Cycle Assessment Data'!AC104)*Z137)</f>
        <v>0</v>
      </c>
      <c r="AD176" s="226">
        <f>IF(bio_production_cost="no",'Life Cycle Assessment Data'!AD104*AA137,SUM('Life Cycle Assessment Data'!AD99,'Life Cycle Assessment Data'!AD104)*AA137)</f>
        <v>0</v>
      </c>
      <c r="AE176" s="226">
        <f>IF(bio_production_cost="no",'Life Cycle Assessment Data'!AE104*AB137,SUM('Life Cycle Assessment Data'!AE99,'Life Cycle Assessment Data'!AE104)*AB137)</f>
        <v>0</v>
      </c>
      <c r="AF176" s="226">
        <f>IF(bio_production_cost="no",'Life Cycle Assessment Data'!AF104*AC137,SUM('Life Cycle Assessment Data'!AF99,'Life Cycle Assessment Data'!AF104)*AC137)</f>
        <v>0</v>
      </c>
      <c r="AG176" s="226">
        <f>IF(bio_production_cost="no",'Life Cycle Assessment Data'!AG104*AD137,SUM('Life Cycle Assessment Data'!AG99,'Life Cycle Assessment Data'!AG104)*AD137)</f>
        <v>0</v>
      </c>
      <c r="AH176" s="226">
        <f>IF(bio_production_cost="no",'Life Cycle Assessment Data'!AH104*AE137,SUM('Life Cycle Assessment Data'!AH99,'Life Cycle Assessment Data'!AH104)*AE137)</f>
        <v>0</v>
      </c>
      <c r="AI176" s="226">
        <f>IF(bio_production_cost="no",'Life Cycle Assessment Data'!AI104*AF137,SUM('Life Cycle Assessment Data'!AI99,'Life Cycle Assessment Data'!AI104)*AF137)</f>
        <v>0</v>
      </c>
      <c r="AJ176" s="226">
        <f>IF(bio_production_cost="no",'Life Cycle Assessment Data'!AJ104*AG137,SUM('Life Cycle Assessment Data'!AJ99,'Life Cycle Assessment Data'!AJ104)*AG137)</f>
        <v>0</v>
      </c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s="30" customFormat="1" outlineLevel="1" x14ac:dyDescent="0.25">
      <c r="A177"/>
      <c r="B177" s="68" t="s">
        <v>85</v>
      </c>
      <c r="C177" s="171">
        <v>0</v>
      </c>
      <c r="D177" s="171">
        <v>0</v>
      </c>
      <c r="E177" s="171">
        <v>0</v>
      </c>
      <c r="F177" s="228">
        <f>IF(bio_production_cost="no",'Life Cycle Assessment Data'!F105*C132,SUM('Life Cycle Assessment Data'!F105,'Life Cycle Assessment Data'!F100)*C132)</f>
        <v>0</v>
      </c>
      <c r="G177" s="228">
        <f>IF(bio_production_cost="no",'Life Cycle Assessment Data'!G105*D132,SUM('Life Cycle Assessment Data'!G105,'Life Cycle Assessment Data'!G100)*D132)</f>
        <v>0</v>
      </c>
      <c r="H177" s="228">
        <f>IF(bio_production_cost="no",'Life Cycle Assessment Data'!H105*E132,SUM('Life Cycle Assessment Data'!H105,'Life Cycle Assessment Data'!H100)*E132)</f>
        <v>0</v>
      </c>
      <c r="I177" s="228">
        <f>IF(bio_production_cost="no",'Life Cycle Assessment Data'!I105*F132,SUM('Life Cycle Assessment Data'!I105,'Life Cycle Assessment Data'!I100)*F132)</f>
        <v>0</v>
      </c>
      <c r="J177" s="228">
        <f>IF(bio_production_cost="no",'Life Cycle Assessment Data'!J105*G132,SUM('Life Cycle Assessment Data'!J105,'Life Cycle Assessment Data'!J100)*G132)</f>
        <v>0</v>
      </c>
      <c r="K177" s="228">
        <f>IF(bio_production_cost="no",'Life Cycle Assessment Data'!K105*H132,SUM('Life Cycle Assessment Data'!K105,'Life Cycle Assessment Data'!K100)*H132)</f>
        <v>0</v>
      </c>
      <c r="L177" s="228">
        <f>IF(bio_production_cost="no",'Life Cycle Assessment Data'!L105*I132,SUM('Life Cycle Assessment Data'!L105,'Life Cycle Assessment Data'!L100)*I132)</f>
        <v>0</v>
      </c>
      <c r="M177" s="228">
        <f>IF(bio_production_cost="no",'Life Cycle Assessment Data'!M105*J132,SUM('Life Cycle Assessment Data'!M105,'Life Cycle Assessment Data'!M100)*J132)</f>
        <v>0</v>
      </c>
      <c r="N177" s="228">
        <f>IF(bio_production_cost="no",'Life Cycle Assessment Data'!N105*K132,SUM('Life Cycle Assessment Data'!N105,'Life Cycle Assessment Data'!N100)*K132)</f>
        <v>0</v>
      </c>
      <c r="O177" s="228">
        <f>IF(bio_production_cost="no",'Life Cycle Assessment Data'!O105*L132,SUM('Life Cycle Assessment Data'!O105,'Life Cycle Assessment Data'!O100)*L132)</f>
        <v>0</v>
      </c>
      <c r="P177" s="228">
        <f>IF(bio_production_cost="no",'Life Cycle Assessment Data'!P105*M132,SUM('Life Cycle Assessment Data'!P105,'Life Cycle Assessment Data'!P100)*M132)</f>
        <v>0</v>
      </c>
      <c r="Q177" s="228">
        <f>IF(bio_production_cost="no",'Life Cycle Assessment Data'!Q105*N132,SUM('Life Cycle Assessment Data'!Q105,'Life Cycle Assessment Data'!Q100)*N132)</f>
        <v>0</v>
      </c>
      <c r="R177" s="228">
        <f>IF(bio_production_cost="no",'Life Cycle Assessment Data'!R105*O132,SUM('Life Cycle Assessment Data'!R105,'Life Cycle Assessment Data'!R100)*O132)</f>
        <v>0</v>
      </c>
      <c r="S177" s="228">
        <f>IF(bio_production_cost="no",'Life Cycle Assessment Data'!S105*P132,SUM('Life Cycle Assessment Data'!S105,'Life Cycle Assessment Data'!S100)*P132)</f>
        <v>0</v>
      </c>
      <c r="T177" s="228">
        <f>IF(bio_production_cost="no",'Life Cycle Assessment Data'!T105*Q132,SUM('Life Cycle Assessment Data'!T105,'Life Cycle Assessment Data'!T100)*Q132)</f>
        <v>0</v>
      </c>
      <c r="U177" s="228">
        <f>IF(bio_production_cost="no",'Life Cycle Assessment Data'!U105*R132,SUM('Life Cycle Assessment Data'!U105,'Life Cycle Assessment Data'!U100)*R132)</f>
        <v>0</v>
      </c>
      <c r="V177" s="228">
        <f>IF(bio_production_cost="no",'Life Cycle Assessment Data'!V105*S132,SUM('Life Cycle Assessment Data'!V105,'Life Cycle Assessment Data'!V100)*S132)</f>
        <v>0</v>
      </c>
      <c r="W177" s="228">
        <f>IF(bio_production_cost="no",'Life Cycle Assessment Data'!W105*T132,SUM('Life Cycle Assessment Data'!W105,'Life Cycle Assessment Data'!W100)*T132)</f>
        <v>0</v>
      </c>
      <c r="X177" s="228">
        <f>IF(bio_production_cost="no",'Life Cycle Assessment Data'!X105*U132,SUM('Life Cycle Assessment Data'!X105,'Life Cycle Assessment Data'!X100)*U132)</f>
        <v>0</v>
      </c>
      <c r="Y177" s="228">
        <f>IF(bio_production_cost="no",'Life Cycle Assessment Data'!Y105*V132,SUM('Life Cycle Assessment Data'!Y105,'Life Cycle Assessment Data'!Y100)*V132)</f>
        <v>0</v>
      </c>
      <c r="Z177" s="228">
        <f>IF(bio_production_cost="no",'Life Cycle Assessment Data'!Z105*W132,SUM('Life Cycle Assessment Data'!Z105,'Life Cycle Assessment Data'!Z100)*W132)</f>
        <v>0</v>
      </c>
      <c r="AA177" s="228">
        <f>IF(bio_production_cost="no",'Life Cycle Assessment Data'!AA105*X132,SUM('Life Cycle Assessment Data'!AA105,'Life Cycle Assessment Data'!AA100)*X132)</f>
        <v>0</v>
      </c>
      <c r="AB177" s="228">
        <f>IF(bio_production_cost="no",'Life Cycle Assessment Data'!AB105*Y132,SUM('Life Cycle Assessment Data'!AB105,'Life Cycle Assessment Data'!AB100)*Y132)</f>
        <v>0</v>
      </c>
      <c r="AC177" s="228">
        <f>IF(bio_production_cost="no",'Life Cycle Assessment Data'!AC105*Z132,SUM('Life Cycle Assessment Data'!AC105,'Life Cycle Assessment Data'!AC100)*Z132)</f>
        <v>0</v>
      </c>
      <c r="AD177" s="228">
        <f>IF(bio_production_cost="no",'Life Cycle Assessment Data'!AD105*AA132,SUM('Life Cycle Assessment Data'!AD105,'Life Cycle Assessment Data'!AD100)*AA132)</f>
        <v>0</v>
      </c>
      <c r="AE177" s="228">
        <f>IF(bio_production_cost="no",'Life Cycle Assessment Data'!AE105*AB132,SUM('Life Cycle Assessment Data'!AE105,'Life Cycle Assessment Data'!AE100)*AB132)</f>
        <v>0</v>
      </c>
      <c r="AF177" s="228">
        <f>IF(bio_production_cost="no",'Life Cycle Assessment Data'!AF105*AC132,SUM('Life Cycle Assessment Data'!AF105,'Life Cycle Assessment Data'!AF100)*AC132)</f>
        <v>0</v>
      </c>
      <c r="AG177" s="228">
        <f>IF(bio_production_cost="no",'Life Cycle Assessment Data'!AG105*AD132,SUM('Life Cycle Assessment Data'!AG105,'Life Cycle Assessment Data'!AG100)*AD132)</f>
        <v>0</v>
      </c>
      <c r="AH177" s="228">
        <f>IF(bio_production_cost="no",'Life Cycle Assessment Data'!AH105*AE132,SUM('Life Cycle Assessment Data'!AH105,'Life Cycle Assessment Data'!AH100)*AE132)</f>
        <v>0</v>
      </c>
      <c r="AI177" s="228">
        <f>IF(bio_production_cost="no",'Life Cycle Assessment Data'!AI105*AF132,SUM('Life Cycle Assessment Data'!AI105,'Life Cycle Assessment Data'!AI100)*AF132)</f>
        <v>0</v>
      </c>
      <c r="AJ177" s="228">
        <f>IF(bio_production_cost="no",'Life Cycle Assessment Data'!AJ105*AG132,SUM('Life Cycle Assessment Data'!AJ105,'Life Cycle Assessment Data'!AJ100)*AG132)</f>
        <v>0</v>
      </c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s="30" customFormat="1" outlineLevel="1" x14ac:dyDescent="0.25">
      <c r="A178"/>
      <c r="B178" s="163" t="s">
        <v>257</v>
      </c>
      <c r="C178" s="215"/>
      <c r="D178" s="215"/>
      <c r="E178" s="215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  <c r="U178" s="164"/>
      <c r="V178" s="164"/>
      <c r="W178" s="164"/>
      <c r="X178" s="164"/>
      <c r="Y178" s="164"/>
      <c r="Z178" s="164"/>
      <c r="AA178" s="164"/>
      <c r="AB178" s="164"/>
      <c r="AC178" s="164"/>
      <c r="AD178" s="164"/>
      <c r="AE178" s="164"/>
      <c r="AF178" s="164"/>
      <c r="AG178" s="164"/>
      <c r="AH178" s="164"/>
      <c r="AI178" s="164"/>
      <c r="AJ178" s="164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s="30" customFormat="1" outlineLevel="1" x14ac:dyDescent="0.25">
      <c r="A179"/>
      <c r="B179" s="60" t="s">
        <v>260</v>
      </c>
      <c r="C179" s="152">
        <f t="array" ref="C179:AJ179">TRANSPOSE('Social Costs of GHGs'!C49:C82)</f>
        <v>13.960022508641217</v>
      </c>
      <c r="D179" s="152">
        <v>15.229115463972237</v>
      </c>
      <c r="E179" s="152">
        <v>15.229115463972237</v>
      </c>
      <c r="F179" s="152">
        <v>15.229115463972237</v>
      </c>
      <c r="G179" s="152">
        <v>15.229115463972237</v>
      </c>
      <c r="H179" s="152">
        <v>16.498208419303257</v>
      </c>
      <c r="I179" s="152">
        <v>16.498208419303257</v>
      </c>
      <c r="J179" s="152">
        <v>16.498208419303257</v>
      </c>
      <c r="K179" s="152">
        <v>17.767301374634275</v>
      </c>
      <c r="L179" s="152">
        <v>17.767301374634275</v>
      </c>
      <c r="M179" s="152">
        <v>19.036394329965297</v>
      </c>
      <c r="N179" s="152">
        <v>19.036394329965297</v>
      </c>
      <c r="O179" s="152">
        <v>19.036394329965297</v>
      </c>
      <c r="P179" s="152">
        <v>20.305487285296316</v>
      </c>
      <c r="Q179" s="152">
        <v>20.305487285296316</v>
      </c>
      <c r="R179" s="152">
        <v>21.574580240627334</v>
      </c>
      <c r="S179" s="152">
        <v>21.574580240627334</v>
      </c>
      <c r="T179" s="152">
        <v>22.843673195958356</v>
      </c>
      <c r="U179" s="152">
        <v>22.843673195958356</v>
      </c>
      <c r="V179" s="152">
        <v>24.112766151289375</v>
      </c>
      <c r="W179" s="152">
        <v>24.112766151289375</v>
      </c>
      <c r="X179" s="152">
        <v>25.381859106620396</v>
      </c>
      <c r="Y179" s="152">
        <v>25.381859106620396</v>
      </c>
      <c r="Z179" s="152">
        <v>26.650952061951415</v>
      </c>
      <c r="AA179" s="152">
        <v>26.650952061951415</v>
      </c>
      <c r="AB179" s="152">
        <v>27.920045017282433</v>
      </c>
      <c r="AC179" s="152">
        <v>27.920045017282433</v>
      </c>
      <c r="AD179" s="152">
        <v>29.189137972613455</v>
      </c>
      <c r="AE179" s="152">
        <v>29.189137972613455</v>
      </c>
      <c r="AF179" s="152">
        <v>30.458230927944474</v>
      </c>
      <c r="AG179" s="152">
        <v>30.458230927944474</v>
      </c>
      <c r="AH179" s="225">
        <v>31.727323883275492</v>
      </c>
      <c r="AI179" s="225">
        <v>31.727323883275492</v>
      </c>
      <c r="AJ179" s="225">
        <v>32.996416838606514</v>
      </c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s="30" customFormat="1" outlineLevel="1" x14ac:dyDescent="0.25">
      <c r="A180"/>
      <c r="B180" s="60" t="s">
        <v>261</v>
      </c>
      <c r="C180" s="152">
        <f t="array" ref="C180:AJ180">TRANSPOSE('Social Costs of GHGs'!D49:D82)</f>
        <v>49.494625257909767</v>
      </c>
      <c r="D180" s="152">
        <v>50.763718213240793</v>
      </c>
      <c r="E180" s="152">
        <v>52.032811168571811</v>
      </c>
      <c r="F180" s="152">
        <v>53.30190412390283</v>
      </c>
      <c r="G180" s="152">
        <v>53.30190412390283</v>
      </c>
      <c r="H180" s="152">
        <v>54.570997079233848</v>
      </c>
      <c r="I180" s="152">
        <v>55.840090034564867</v>
      </c>
      <c r="J180" s="152">
        <v>57.109182989895885</v>
      </c>
      <c r="K180" s="152">
        <v>58.37827594522691</v>
      </c>
      <c r="L180" s="152">
        <v>59.647368900557929</v>
      </c>
      <c r="M180" s="152">
        <v>60.916461855888947</v>
      </c>
      <c r="N180" s="152">
        <v>62.185554811219966</v>
      </c>
      <c r="O180" s="152">
        <v>62.185554811219966</v>
      </c>
      <c r="P180" s="152">
        <v>63.454647766550984</v>
      </c>
      <c r="Q180" s="152">
        <v>64.72374072188201</v>
      </c>
      <c r="R180" s="152">
        <v>65.992833677213028</v>
      </c>
      <c r="S180" s="152">
        <v>67.261926632544046</v>
      </c>
      <c r="T180" s="152">
        <v>68.531019587875065</v>
      </c>
      <c r="U180" s="152">
        <v>69.800112543206083</v>
      </c>
      <c r="V180" s="152">
        <v>71.069205498537102</v>
      </c>
      <c r="W180" s="152">
        <v>72.33829845386812</v>
      </c>
      <c r="X180" s="152">
        <v>73.607391409199138</v>
      </c>
      <c r="Y180" s="152">
        <v>74.876484364530171</v>
      </c>
      <c r="Z180" s="152">
        <v>76.145577319861189</v>
      </c>
      <c r="AA180" s="152">
        <v>77.414670275192208</v>
      </c>
      <c r="AB180" s="152">
        <v>77.414670275192208</v>
      </c>
      <c r="AC180" s="152">
        <v>78.683763230523226</v>
      </c>
      <c r="AD180" s="152">
        <v>79.952856185854245</v>
      </c>
      <c r="AE180" s="152">
        <v>81.221949141185263</v>
      </c>
      <c r="AF180" s="152">
        <v>82.491042096516281</v>
      </c>
      <c r="AG180" s="152">
        <v>83.7601350518473</v>
      </c>
      <c r="AH180" s="225">
        <v>85.029228007178318</v>
      </c>
      <c r="AI180" s="225">
        <v>86.298320962509337</v>
      </c>
      <c r="AJ180" s="225">
        <v>87.567413917840355</v>
      </c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s="30" customFormat="1" outlineLevel="1" x14ac:dyDescent="0.25">
      <c r="A181"/>
      <c r="B181" s="60" t="s">
        <v>262</v>
      </c>
      <c r="C181" s="152">
        <f t="array" ref="C181:AJ181">TRANSPOSE('Social Costs of GHGs'!E49:E82)</f>
        <v>74.876484364530171</v>
      </c>
      <c r="D181" s="152">
        <v>76.145577319861189</v>
      </c>
      <c r="E181" s="152">
        <v>77.414670275192208</v>
      </c>
      <c r="F181" s="152">
        <v>78.683763230523226</v>
      </c>
      <c r="G181" s="152">
        <v>79.952856185854245</v>
      </c>
      <c r="H181" s="152">
        <v>81.221949141185263</v>
      </c>
      <c r="I181" s="152">
        <v>82.491042096516281</v>
      </c>
      <c r="J181" s="152">
        <v>83.7601350518473</v>
      </c>
      <c r="K181" s="152">
        <v>86.298320962509337</v>
      </c>
      <c r="L181" s="152">
        <v>87.567413917840355</v>
      </c>
      <c r="M181" s="152">
        <v>88.836506873171388</v>
      </c>
      <c r="N181" s="152">
        <v>90.105599828502406</v>
      </c>
      <c r="O181" s="152">
        <v>91.374692783833424</v>
      </c>
      <c r="P181" s="152">
        <v>92.643785739164443</v>
      </c>
      <c r="Q181" s="152">
        <v>93.912878694495461</v>
      </c>
      <c r="R181" s="152">
        <v>95.18197164982648</v>
      </c>
      <c r="S181" s="152">
        <v>96.451064605157498</v>
      </c>
      <c r="T181" s="152">
        <v>97.720157560488516</v>
      </c>
      <c r="U181" s="152">
        <v>98.989250515819535</v>
      </c>
      <c r="V181" s="152">
        <v>100.25834347115055</v>
      </c>
      <c r="W181" s="152">
        <v>102.7965293818126</v>
      </c>
      <c r="X181" s="152">
        <v>104.06562233714362</v>
      </c>
      <c r="Y181" s="152">
        <v>105.33471529247464</v>
      </c>
      <c r="Z181" s="152">
        <v>106.60380824780566</v>
      </c>
      <c r="AA181" s="152">
        <v>107.87290120313668</v>
      </c>
      <c r="AB181" s="152">
        <v>109.1419941584677</v>
      </c>
      <c r="AC181" s="152">
        <v>110.41108711379871</v>
      </c>
      <c r="AD181" s="152">
        <v>111.68018006912973</v>
      </c>
      <c r="AE181" s="152">
        <v>112.94927302446075</v>
      </c>
      <c r="AF181" s="152">
        <v>114.21836597979177</v>
      </c>
      <c r="AG181" s="152">
        <v>116.75655189045382</v>
      </c>
      <c r="AH181" s="225">
        <v>118.02564484578484</v>
      </c>
      <c r="AI181" s="225">
        <v>119.29473780111586</v>
      </c>
      <c r="AJ181" s="225">
        <v>120.56383075644688</v>
      </c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s="30" customFormat="1" outlineLevel="1" x14ac:dyDescent="0.25">
      <c r="A182"/>
      <c r="B182" s="15" t="s">
        <v>224</v>
      </c>
      <c r="C182" s="151">
        <v>0</v>
      </c>
      <c r="D182" s="152">
        <v>0</v>
      </c>
      <c r="E182" s="152">
        <v>0</v>
      </c>
      <c r="F182" s="152">
        <v>0</v>
      </c>
      <c r="G182" s="152">
        <f>15*(1+0.0181)</f>
        <v>15.2715</v>
      </c>
      <c r="H182" s="152">
        <f t="shared" ref="H182:AJ182" si="29">G182*1.05</f>
        <v>16.035074999999999</v>
      </c>
      <c r="I182" s="152">
        <f t="shared" si="29"/>
        <v>16.836828749999999</v>
      </c>
      <c r="J182" s="152">
        <f t="shared" si="29"/>
        <v>17.6786701875</v>
      </c>
      <c r="K182" s="152">
        <f t="shared" si="29"/>
        <v>18.562603696875001</v>
      </c>
      <c r="L182" s="152">
        <f t="shared" si="29"/>
        <v>19.490733881718754</v>
      </c>
      <c r="M182" s="152">
        <f t="shared" si="29"/>
        <v>20.465270575804691</v>
      </c>
      <c r="N182" s="152">
        <f t="shared" si="29"/>
        <v>21.488534104594926</v>
      </c>
      <c r="O182" s="152">
        <f t="shared" si="29"/>
        <v>22.562960809824673</v>
      </c>
      <c r="P182" s="152">
        <f t="shared" si="29"/>
        <v>23.691108850315906</v>
      </c>
      <c r="Q182" s="152">
        <f t="shared" si="29"/>
        <v>24.875664292831704</v>
      </c>
      <c r="R182" s="152">
        <f t="shared" si="29"/>
        <v>26.119447507473289</v>
      </c>
      <c r="S182" s="152">
        <f t="shared" si="29"/>
        <v>27.425419882846956</v>
      </c>
      <c r="T182" s="152">
        <f t="shared" si="29"/>
        <v>28.796690876989306</v>
      </c>
      <c r="U182" s="152">
        <f t="shared" si="29"/>
        <v>30.236525420838774</v>
      </c>
      <c r="V182" s="152">
        <f t="shared" si="29"/>
        <v>31.748351691880714</v>
      </c>
      <c r="W182" s="152">
        <f t="shared" si="29"/>
        <v>33.33576927647475</v>
      </c>
      <c r="X182" s="152">
        <f t="shared" si="29"/>
        <v>35.002557740298492</v>
      </c>
      <c r="Y182" s="152">
        <f t="shared" si="29"/>
        <v>36.752685627313419</v>
      </c>
      <c r="Z182" s="152">
        <f t="shared" si="29"/>
        <v>38.590319908679092</v>
      </c>
      <c r="AA182" s="152">
        <f t="shared" si="29"/>
        <v>40.519835904113052</v>
      </c>
      <c r="AB182" s="152">
        <f t="shared" si="29"/>
        <v>42.545827699318707</v>
      </c>
      <c r="AC182" s="152">
        <f t="shared" si="29"/>
        <v>44.673119084284643</v>
      </c>
      <c r="AD182" s="152">
        <f t="shared" si="29"/>
        <v>46.906775038498878</v>
      </c>
      <c r="AE182" s="152">
        <f t="shared" si="29"/>
        <v>49.252113790423827</v>
      </c>
      <c r="AF182" s="152">
        <f t="shared" si="29"/>
        <v>51.714719479945018</v>
      </c>
      <c r="AG182" s="152">
        <f t="shared" si="29"/>
        <v>54.30045545394227</v>
      </c>
      <c r="AH182" s="152">
        <f t="shared" si="29"/>
        <v>57.015478226639388</v>
      </c>
      <c r="AI182" s="152">
        <f t="shared" si="29"/>
        <v>59.866252137971358</v>
      </c>
      <c r="AJ182" s="152">
        <f t="shared" si="29"/>
        <v>62.859564744869928</v>
      </c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s="30" customFormat="1" outlineLevel="1" x14ac:dyDescent="0.25">
      <c r="A183"/>
      <c r="B183" s="15" t="s">
        <v>225</v>
      </c>
      <c r="C183" s="151">
        <v>0</v>
      </c>
      <c r="D183" s="152">
        <v>0</v>
      </c>
      <c r="E183" s="152">
        <v>0</v>
      </c>
      <c r="F183" s="152">
        <v>0</v>
      </c>
      <c r="G183" s="152">
        <f>25*(1+0.0181)</f>
        <v>25.452500000000001</v>
      </c>
      <c r="H183" s="152">
        <f t="shared" ref="H183:AJ183" si="30">G183*1.05</f>
        <v>26.725125000000002</v>
      </c>
      <c r="I183" s="152">
        <f t="shared" si="30"/>
        <v>28.061381250000004</v>
      </c>
      <c r="J183" s="152">
        <f t="shared" si="30"/>
        <v>29.464450312500006</v>
      </c>
      <c r="K183" s="152">
        <f t="shared" si="30"/>
        <v>30.937672828125006</v>
      </c>
      <c r="L183" s="152">
        <f t="shared" si="30"/>
        <v>32.484556469531256</v>
      </c>
      <c r="M183" s="152">
        <f t="shared" si="30"/>
        <v>34.108784293007822</v>
      </c>
      <c r="N183" s="152">
        <f t="shared" si="30"/>
        <v>35.814223507658212</v>
      </c>
      <c r="O183" s="152">
        <f t="shared" si="30"/>
        <v>37.604934683041122</v>
      </c>
      <c r="P183" s="152">
        <f t="shared" si="30"/>
        <v>39.485181417193182</v>
      </c>
      <c r="Q183" s="152">
        <f t="shared" si="30"/>
        <v>41.459440488052842</v>
      </c>
      <c r="R183" s="152">
        <f t="shared" si="30"/>
        <v>43.532412512455487</v>
      </c>
      <c r="S183" s="152">
        <f t="shared" si="30"/>
        <v>45.709033138078262</v>
      </c>
      <c r="T183" s="152">
        <f t="shared" si="30"/>
        <v>47.994484794982178</v>
      </c>
      <c r="U183" s="152">
        <f t="shared" si="30"/>
        <v>50.39420903473129</v>
      </c>
      <c r="V183" s="152">
        <f t="shared" si="30"/>
        <v>52.913919486467854</v>
      </c>
      <c r="W183" s="152">
        <f t="shared" si="30"/>
        <v>55.55961546079125</v>
      </c>
      <c r="X183" s="152">
        <f t="shared" si="30"/>
        <v>58.337596233830816</v>
      </c>
      <c r="Y183" s="152">
        <f t="shared" si="30"/>
        <v>61.25447604552236</v>
      </c>
      <c r="Z183" s="152">
        <f t="shared" si="30"/>
        <v>64.317199847798477</v>
      </c>
      <c r="AA183" s="152">
        <f t="shared" si="30"/>
        <v>67.5330598401884</v>
      </c>
      <c r="AB183" s="152">
        <f t="shared" si="30"/>
        <v>70.909712832197826</v>
      </c>
      <c r="AC183" s="152">
        <f t="shared" si="30"/>
        <v>74.455198473807727</v>
      </c>
      <c r="AD183" s="152">
        <f t="shared" si="30"/>
        <v>78.177958397498116</v>
      </c>
      <c r="AE183" s="152">
        <f t="shared" si="30"/>
        <v>82.086856317373019</v>
      </c>
      <c r="AF183" s="152">
        <f t="shared" si="30"/>
        <v>86.191199133241668</v>
      </c>
      <c r="AG183" s="152">
        <f t="shared" si="30"/>
        <v>90.500759089903752</v>
      </c>
      <c r="AH183" s="152">
        <f t="shared" si="30"/>
        <v>95.025797044398942</v>
      </c>
      <c r="AI183" s="152">
        <f t="shared" si="30"/>
        <v>99.777086896618897</v>
      </c>
      <c r="AJ183" s="152">
        <f t="shared" si="30"/>
        <v>104.76594124144985</v>
      </c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s="30" customFormat="1" outlineLevel="1" x14ac:dyDescent="0.25">
      <c r="A184"/>
      <c r="B184" s="15" t="s">
        <v>226</v>
      </c>
      <c r="C184" s="151">
        <v>0</v>
      </c>
      <c r="D184" s="152">
        <v>0</v>
      </c>
      <c r="E184" s="152">
        <f>D184*1.05</f>
        <v>0</v>
      </c>
      <c r="F184" s="152">
        <v>0</v>
      </c>
      <c r="G184" s="152">
        <f>35*(1+0.0181)</f>
        <v>35.633499999999998</v>
      </c>
      <c r="H184" s="152">
        <f t="shared" ref="H184:AJ184" si="31">G184*1.05</f>
        <v>37.415174999999998</v>
      </c>
      <c r="I184" s="152">
        <f t="shared" si="31"/>
        <v>39.285933749999998</v>
      </c>
      <c r="J184" s="152">
        <f t="shared" si="31"/>
        <v>41.250230437500001</v>
      </c>
      <c r="K184" s="152">
        <f t="shared" si="31"/>
        <v>43.312741959375003</v>
      </c>
      <c r="L184" s="152">
        <f t="shared" si="31"/>
        <v>45.478379057343759</v>
      </c>
      <c r="M184" s="152">
        <f t="shared" si="31"/>
        <v>47.75229801021095</v>
      </c>
      <c r="N184" s="152">
        <f t="shared" si="31"/>
        <v>50.139912910721499</v>
      </c>
      <c r="O184" s="152">
        <f t="shared" si="31"/>
        <v>52.646908556257578</v>
      </c>
      <c r="P184" s="152">
        <f t="shared" si="31"/>
        <v>55.279253984070458</v>
      </c>
      <c r="Q184" s="152">
        <f t="shared" si="31"/>
        <v>58.043216683273982</v>
      </c>
      <c r="R184" s="152">
        <f t="shared" si="31"/>
        <v>60.945377517437684</v>
      </c>
      <c r="S184" s="152">
        <f t="shared" si="31"/>
        <v>63.99264639330957</v>
      </c>
      <c r="T184" s="152">
        <f t="shared" si="31"/>
        <v>67.192278712975053</v>
      </c>
      <c r="U184" s="152">
        <f t="shared" si="31"/>
        <v>70.551892648623806</v>
      </c>
      <c r="V184" s="152">
        <f t="shared" si="31"/>
        <v>74.079487281054995</v>
      </c>
      <c r="W184" s="152">
        <f t="shared" si="31"/>
        <v>77.783461645107749</v>
      </c>
      <c r="X184" s="152">
        <f t="shared" si="31"/>
        <v>81.672634727363146</v>
      </c>
      <c r="Y184" s="152">
        <f t="shared" si="31"/>
        <v>85.756266463731308</v>
      </c>
      <c r="Z184" s="152">
        <f t="shared" si="31"/>
        <v>90.044079786917877</v>
      </c>
      <c r="AA184" s="152">
        <f t="shared" si="31"/>
        <v>94.546283776263778</v>
      </c>
      <c r="AB184" s="152">
        <f t="shared" si="31"/>
        <v>99.273597965076974</v>
      </c>
      <c r="AC184" s="152">
        <f t="shared" si="31"/>
        <v>104.23727786333083</v>
      </c>
      <c r="AD184" s="152">
        <f t="shared" si="31"/>
        <v>109.44914175649738</v>
      </c>
      <c r="AE184" s="152">
        <f t="shared" si="31"/>
        <v>114.92159884432226</v>
      </c>
      <c r="AF184" s="152">
        <f t="shared" si="31"/>
        <v>120.66767878653837</v>
      </c>
      <c r="AG184" s="152">
        <f t="shared" si="31"/>
        <v>126.7010627258653</v>
      </c>
      <c r="AH184" s="152">
        <f t="shared" si="31"/>
        <v>133.03611586215857</v>
      </c>
      <c r="AI184" s="152">
        <f t="shared" si="31"/>
        <v>139.68792165526651</v>
      </c>
      <c r="AJ184" s="152">
        <f t="shared" si="31"/>
        <v>146.67231773802985</v>
      </c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s="30" customFormat="1" outlineLevel="1" x14ac:dyDescent="0.25">
      <c r="A185"/>
      <c r="B185" s="18" t="s">
        <v>234</v>
      </c>
      <c r="C185" s="151">
        <f t="shared" ref="C185:AJ185" si="32">$D$27</f>
        <v>40</v>
      </c>
      <c r="D185" s="151">
        <f t="shared" si="32"/>
        <v>40</v>
      </c>
      <c r="E185" s="151">
        <f t="shared" si="32"/>
        <v>40</v>
      </c>
      <c r="F185" s="151">
        <f t="shared" si="32"/>
        <v>40</v>
      </c>
      <c r="G185" s="151">
        <f t="shared" si="32"/>
        <v>40</v>
      </c>
      <c r="H185" s="151">
        <f t="shared" si="32"/>
        <v>40</v>
      </c>
      <c r="I185" s="151">
        <f t="shared" si="32"/>
        <v>40</v>
      </c>
      <c r="J185" s="151">
        <f t="shared" si="32"/>
        <v>40</v>
      </c>
      <c r="K185" s="151">
        <f t="shared" si="32"/>
        <v>40</v>
      </c>
      <c r="L185" s="151">
        <f t="shared" si="32"/>
        <v>40</v>
      </c>
      <c r="M185" s="151">
        <f t="shared" si="32"/>
        <v>40</v>
      </c>
      <c r="N185" s="151">
        <f t="shared" si="32"/>
        <v>40</v>
      </c>
      <c r="O185" s="151">
        <f t="shared" si="32"/>
        <v>40</v>
      </c>
      <c r="P185" s="151">
        <f t="shared" si="32"/>
        <v>40</v>
      </c>
      <c r="Q185" s="151">
        <f t="shared" si="32"/>
        <v>40</v>
      </c>
      <c r="R185" s="151">
        <f t="shared" si="32"/>
        <v>40</v>
      </c>
      <c r="S185" s="151">
        <f t="shared" si="32"/>
        <v>40</v>
      </c>
      <c r="T185" s="151">
        <f t="shared" si="32"/>
        <v>40</v>
      </c>
      <c r="U185" s="151">
        <f t="shared" si="32"/>
        <v>40</v>
      </c>
      <c r="V185" s="151">
        <f t="shared" si="32"/>
        <v>40</v>
      </c>
      <c r="W185" s="151">
        <f t="shared" si="32"/>
        <v>40</v>
      </c>
      <c r="X185" s="151">
        <f t="shared" si="32"/>
        <v>40</v>
      </c>
      <c r="Y185" s="151">
        <f t="shared" si="32"/>
        <v>40</v>
      </c>
      <c r="Z185" s="151">
        <f t="shared" si="32"/>
        <v>40</v>
      </c>
      <c r="AA185" s="151">
        <f t="shared" si="32"/>
        <v>40</v>
      </c>
      <c r="AB185" s="151">
        <f t="shared" si="32"/>
        <v>40</v>
      </c>
      <c r="AC185" s="151">
        <f t="shared" si="32"/>
        <v>40</v>
      </c>
      <c r="AD185" s="151">
        <f t="shared" si="32"/>
        <v>40</v>
      </c>
      <c r="AE185" s="151">
        <f t="shared" si="32"/>
        <v>40</v>
      </c>
      <c r="AF185" s="151">
        <f t="shared" si="32"/>
        <v>40</v>
      </c>
      <c r="AG185" s="151">
        <f t="shared" si="32"/>
        <v>40</v>
      </c>
      <c r="AH185" s="151">
        <f t="shared" si="32"/>
        <v>40</v>
      </c>
      <c r="AI185" s="151">
        <f t="shared" si="32"/>
        <v>40</v>
      </c>
      <c r="AJ185" s="151">
        <f t="shared" si="32"/>
        <v>40</v>
      </c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s="18" customFormat="1" outlineLevel="1" x14ac:dyDescent="0.25">
      <c r="A186" s="15"/>
      <c r="B186" s="15" t="s">
        <v>201</v>
      </c>
      <c r="C186" s="15">
        <f t="shared" ref="C186:AJ186" si="33">G27</f>
        <v>40</v>
      </c>
      <c r="D186" s="15">
        <f t="shared" si="33"/>
        <v>41</v>
      </c>
      <c r="E186" s="15">
        <f t="shared" si="33"/>
        <v>42</v>
      </c>
      <c r="F186" s="15">
        <f t="shared" si="33"/>
        <v>43</v>
      </c>
      <c r="G186" s="15">
        <f t="shared" si="33"/>
        <v>44</v>
      </c>
      <c r="H186" s="15">
        <f t="shared" si="33"/>
        <v>45</v>
      </c>
      <c r="I186" s="15">
        <f t="shared" si="33"/>
        <v>46</v>
      </c>
      <c r="J186" s="15">
        <f t="shared" si="33"/>
        <v>47</v>
      </c>
      <c r="K186" s="15">
        <f t="shared" si="33"/>
        <v>48</v>
      </c>
      <c r="L186" s="15">
        <f t="shared" si="33"/>
        <v>49</v>
      </c>
      <c r="M186" s="15">
        <f t="shared" si="33"/>
        <v>50</v>
      </c>
      <c r="N186" s="15">
        <f t="shared" si="33"/>
        <v>51</v>
      </c>
      <c r="O186" s="15">
        <f t="shared" si="33"/>
        <v>52</v>
      </c>
      <c r="P186" s="15">
        <f t="shared" si="33"/>
        <v>53</v>
      </c>
      <c r="Q186" s="15">
        <f t="shared" si="33"/>
        <v>54</v>
      </c>
      <c r="R186" s="15">
        <f t="shared" si="33"/>
        <v>55</v>
      </c>
      <c r="S186" s="15">
        <f t="shared" si="33"/>
        <v>56</v>
      </c>
      <c r="T186" s="15">
        <f t="shared" si="33"/>
        <v>57</v>
      </c>
      <c r="U186" s="15">
        <f t="shared" si="33"/>
        <v>58</v>
      </c>
      <c r="V186" s="15">
        <f t="shared" si="33"/>
        <v>59</v>
      </c>
      <c r="W186" s="15">
        <f t="shared" si="33"/>
        <v>60</v>
      </c>
      <c r="X186" s="15">
        <f t="shared" si="33"/>
        <v>61</v>
      </c>
      <c r="Y186" s="15">
        <f t="shared" si="33"/>
        <v>62</v>
      </c>
      <c r="Z186" s="15">
        <f t="shared" si="33"/>
        <v>63</v>
      </c>
      <c r="AA186" s="15">
        <f t="shared" si="33"/>
        <v>64</v>
      </c>
      <c r="AB186" s="15">
        <f t="shared" si="33"/>
        <v>65</v>
      </c>
      <c r="AC186" s="15">
        <f t="shared" si="33"/>
        <v>66</v>
      </c>
      <c r="AD186" s="15">
        <f t="shared" si="33"/>
        <v>67</v>
      </c>
      <c r="AE186" s="15">
        <f t="shared" si="33"/>
        <v>68</v>
      </c>
      <c r="AF186" s="15">
        <f t="shared" si="33"/>
        <v>69</v>
      </c>
      <c r="AG186" s="15">
        <f t="shared" si="33"/>
        <v>70</v>
      </c>
      <c r="AH186" s="15">
        <f t="shared" si="33"/>
        <v>71</v>
      </c>
      <c r="AI186" s="15">
        <f t="shared" si="33"/>
        <v>72</v>
      </c>
      <c r="AJ186" s="15">
        <f t="shared" si="33"/>
        <v>73</v>
      </c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</row>
    <row r="187" spans="1:53" s="30" customFormat="1" outlineLevel="1" x14ac:dyDescent="0.25">
      <c r="A187"/>
      <c r="B187" s="68" t="s">
        <v>227</v>
      </c>
      <c r="C187" s="68">
        <v>0</v>
      </c>
      <c r="D187" s="68">
        <v>0</v>
      </c>
      <c r="E187" s="68">
        <v>0</v>
      </c>
      <c r="F187" s="68">
        <v>0</v>
      </c>
      <c r="G187" s="68">
        <v>0</v>
      </c>
      <c r="H187" s="68">
        <v>0</v>
      </c>
      <c r="I187" s="68">
        <v>0</v>
      </c>
      <c r="J187" s="68">
        <v>0</v>
      </c>
      <c r="K187" s="68">
        <v>0</v>
      </c>
      <c r="L187" s="68">
        <v>0</v>
      </c>
      <c r="M187" s="68">
        <v>0</v>
      </c>
      <c r="N187" s="68">
        <v>0</v>
      </c>
      <c r="O187" s="68">
        <v>0</v>
      </c>
      <c r="P187" s="68">
        <v>0</v>
      </c>
      <c r="Q187" s="68">
        <v>0</v>
      </c>
      <c r="R187" s="68">
        <v>0</v>
      </c>
      <c r="S187" s="68">
        <v>0</v>
      </c>
      <c r="T187" s="68">
        <v>0</v>
      </c>
      <c r="U187" s="68">
        <v>0</v>
      </c>
      <c r="V187" s="68">
        <v>0</v>
      </c>
      <c r="W187" s="68">
        <v>0</v>
      </c>
      <c r="X187" s="68">
        <v>0</v>
      </c>
      <c r="Y187" s="68">
        <v>0</v>
      </c>
      <c r="Z187" s="68">
        <v>0</v>
      </c>
      <c r="AA187" s="68">
        <v>0</v>
      </c>
      <c r="AB187" s="68">
        <v>0</v>
      </c>
      <c r="AC187" s="68">
        <v>0</v>
      </c>
      <c r="AD187" s="68">
        <v>0</v>
      </c>
      <c r="AE187" s="68">
        <v>0</v>
      </c>
      <c r="AF187" s="68">
        <v>0</v>
      </c>
      <c r="AG187" s="68">
        <v>0</v>
      </c>
      <c r="AH187" s="68">
        <v>0</v>
      </c>
      <c r="AI187" s="68">
        <v>0</v>
      </c>
      <c r="AJ187" s="68">
        <v>0</v>
      </c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s="30" customFormat="1" outlineLevel="1" x14ac:dyDescent="0.25">
      <c r="A188"/>
      <c r="B188" s="163" t="s">
        <v>258</v>
      </c>
      <c r="C188" s="215"/>
      <c r="D188" s="215"/>
      <c r="E188" s="215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4"/>
      <c r="U188" s="164"/>
      <c r="V188" s="164"/>
      <c r="W188" s="164"/>
      <c r="X188" s="164"/>
      <c r="Y188" s="164"/>
      <c r="Z188" s="164"/>
      <c r="AA188" s="164"/>
      <c r="AB188" s="164"/>
      <c r="AC188" s="164"/>
      <c r="AD188" s="164"/>
      <c r="AE188" s="164"/>
      <c r="AF188" s="164"/>
      <c r="AG188" s="164"/>
      <c r="AH188" s="164"/>
      <c r="AI188" s="164"/>
      <c r="AJ188" s="164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s="30" customFormat="1" outlineLevel="1" x14ac:dyDescent="0.25">
      <c r="A189"/>
      <c r="B189" s="60" t="s">
        <v>260</v>
      </c>
      <c r="C189" s="152">
        <f t="array" ref="C189:AJ189">TRANSPOSE('Social Costs of GHGs'!F49:F82)</f>
        <v>621.8555481121997</v>
      </c>
      <c r="D189" s="152">
        <v>647.23740721882007</v>
      </c>
      <c r="E189" s="152">
        <v>659.92833677213025</v>
      </c>
      <c r="F189" s="152">
        <v>685.31019587875062</v>
      </c>
      <c r="G189" s="152">
        <v>710.6920549853711</v>
      </c>
      <c r="H189" s="152">
        <v>748.76484364530165</v>
      </c>
      <c r="I189" s="152">
        <v>774.14670275192202</v>
      </c>
      <c r="J189" s="152">
        <v>799.52856185854239</v>
      </c>
      <c r="K189" s="152">
        <v>824.91042096516287</v>
      </c>
      <c r="L189" s="152">
        <v>850.29228007178324</v>
      </c>
      <c r="M189" s="152">
        <v>888.36506873171379</v>
      </c>
      <c r="N189" s="152">
        <v>913.74692783833416</v>
      </c>
      <c r="O189" s="152">
        <v>939.12878694495464</v>
      </c>
      <c r="P189" s="152">
        <v>964.51064605157501</v>
      </c>
      <c r="Q189" s="152">
        <v>1002.5834347115056</v>
      </c>
      <c r="R189" s="152">
        <v>1040.6562233714362</v>
      </c>
      <c r="S189" s="152">
        <v>1078.7290120313667</v>
      </c>
      <c r="T189" s="152">
        <v>1116.8018006912973</v>
      </c>
      <c r="U189" s="152">
        <v>1142.1836597979177</v>
      </c>
      <c r="V189" s="152">
        <v>1180.2564484578484</v>
      </c>
      <c r="W189" s="152">
        <v>1218.329237117779</v>
      </c>
      <c r="X189" s="152">
        <v>1256.4020257777095</v>
      </c>
      <c r="Y189" s="152">
        <v>1269.0929553310198</v>
      </c>
      <c r="Z189" s="152">
        <v>1269.0929553310198</v>
      </c>
      <c r="AA189" s="152">
        <v>1396.0022508641216</v>
      </c>
      <c r="AB189" s="152">
        <v>1396.0022508641216</v>
      </c>
      <c r="AC189" s="152">
        <v>1396.0022508641216</v>
      </c>
      <c r="AD189" s="152">
        <v>1522.9115463972237</v>
      </c>
      <c r="AE189" s="152">
        <v>1522.9115463972237</v>
      </c>
      <c r="AF189" s="152">
        <v>1522.9115463972237</v>
      </c>
      <c r="AG189" s="152">
        <v>1649.8208419303257</v>
      </c>
      <c r="AH189" s="152">
        <v>1649.8208419303257</v>
      </c>
      <c r="AI189" s="152">
        <v>1649.8208419303257</v>
      </c>
      <c r="AJ189" s="152">
        <v>1649.8208419303257</v>
      </c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s="30" customFormat="1" outlineLevel="1" x14ac:dyDescent="0.25">
      <c r="A190"/>
      <c r="B190" s="60" t="s">
        <v>261</v>
      </c>
      <c r="C190" s="152">
        <f t="array" ref="C190:AJ190">TRANSPOSE('Social Costs of GHGs'!G49:G82)</f>
        <v>1396.0022508641216</v>
      </c>
      <c r="D190" s="152">
        <v>1396.0022508641216</v>
      </c>
      <c r="E190" s="152">
        <v>1522.9115463972237</v>
      </c>
      <c r="F190" s="152">
        <v>1522.9115463972237</v>
      </c>
      <c r="G190" s="152">
        <v>1522.9115463972237</v>
      </c>
      <c r="H190" s="152">
        <v>1649.8208419303257</v>
      </c>
      <c r="I190" s="152">
        <v>1649.8208419303257</v>
      </c>
      <c r="J190" s="152">
        <v>1776.7301374634276</v>
      </c>
      <c r="K190" s="152">
        <v>1776.7301374634276</v>
      </c>
      <c r="L190" s="152">
        <v>1776.7301374634276</v>
      </c>
      <c r="M190" s="152">
        <v>1903.6394329965296</v>
      </c>
      <c r="N190" s="152">
        <v>1903.6394329965296</v>
      </c>
      <c r="O190" s="152">
        <v>2030.5487285296315</v>
      </c>
      <c r="P190" s="152">
        <v>2030.5487285296315</v>
      </c>
      <c r="Q190" s="152">
        <v>2030.5487285296315</v>
      </c>
      <c r="R190" s="152">
        <v>2157.4580240627333</v>
      </c>
      <c r="S190" s="152">
        <v>2157.4580240627333</v>
      </c>
      <c r="T190" s="152">
        <v>2284.3673195958354</v>
      </c>
      <c r="U190" s="152">
        <v>2284.3673195958354</v>
      </c>
      <c r="V190" s="152">
        <v>2411.2766151289375</v>
      </c>
      <c r="W190" s="152">
        <v>2411.2766151289375</v>
      </c>
      <c r="X190" s="152">
        <v>2538.1859106620395</v>
      </c>
      <c r="Y190" s="152">
        <v>2538.1859106620395</v>
      </c>
      <c r="Z190" s="152">
        <v>2538.1859106620395</v>
      </c>
      <c r="AA190" s="152">
        <v>2665.0952061951416</v>
      </c>
      <c r="AB190" s="152">
        <v>2665.0952061951416</v>
      </c>
      <c r="AC190" s="152">
        <v>2792.0045017282432</v>
      </c>
      <c r="AD190" s="152">
        <v>2792.0045017282432</v>
      </c>
      <c r="AE190" s="152">
        <v>2918.9137972613453</v>
      </c>
      <c r="AF190" s="152">
        <v>2918.9137972613453</v>
      </c>
      <c r="AG190" s="152">
        <v>3045.8230927944473</v>
      </c>
      <c r="AH190" s="225">
        <v>3045.8230927944473</v>
      </c>
      <c r="AI190" s="225">
        <v>3172.7323883275494</v>
      </c>
      <c r="AJ190" s="225">
        <v>3172.7323883275494</v>
      </c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s="30" customFormat="1" outlineLevel="1" x14ac:dyDescent="0.25">
      <c r="A191"/>
      <c r="B191" s="60" t="s">
        <v>262</v>
      </c>
      <c r="C191" s="152">
        <f t="array" ref="C191:AJ191">TRANSPOSE('Social Costs of GHGs'!H49:H82)</f>
        <v>1903.6394329965296</v>
      </c>
      <c r="D191" s="152">
        <v>1903.6394329965296</v>
      </c>
      <c r="E191" s="152">
        <v>1903.6394329965296</v>
      </c>
      <c r="F191" s="152">
        <v>2030.5487285296315</v>
      </c>
      <c r="G191" s="152">
        <v>2030.5487285296315</v>
      </c>
      <c r="H191" s="152">
        <v>2157.4580240627333</v>
      </c>
      <c r="I191" s="152">
        <v>2157.4580240627333</v>
      </c>
      <c r="J191" s="152">
        <v>2284.3673195958354</v>
      </c>
      <c r="K191" s="152">
        <v>2284.3673195958354</v>
      </c>
      <c r="L191" s="152">
        <v>2411.2766151289375</v>
      </c>
      <c r="M191" s="152">
        <v>2411.2766151289375</v>
      </c>
      <c r="N191" s="152">
        <v>2538.1859106620395</v>
      </c>
      <c r="O191" s="152">
        <v>2538.1859106620395</v>
      </c>
      <c r="P191" s="152">
        <v>2538.1859106620395</v>
      </c>
      <c r="Q191" s="152">
        <v>2665.0952061951416</v>
      </c>
      <c r="R191" s="152">
        <v>2665.0952061951416</v>
      </c>
      <c r="S191" s="152">
        <v>2792.0045017282432</v>
      </c>
      <c r="T191" s="152">
        <v>2792.0045017282432</v>
      </c>
      <c r="U191" s="152">
        <v>2918.9137972613453</v>
      </c>
      <c r="V191" s="152">
        <v>3045.8230927944473</v>
      </c>
      <c r="W191" s="152">
        <v>3045.8230927944473</v>
      </c>
      <c r="X191" s="152">
        <v>3172.7323883275494</v>
      </c>
      <c r="Y191" s="152">
        <v>3172.7323883275494</v>
      </c>
      <c r="Z191" s="152">
        <v>3299.6416838606515</v>
      </c>
      <c r="AA191" s="152">
        <v>3299.6416838606515</v>
      </c>
      <c r="AB191" s="152">
        <v>3426.5509793937531</v>
      </c>
      <c r="AC191" s="152">
        <v>3426.5509793937531</v>
      </c>
      <c r="AD191" s="152">
        <v>3553.4602749268552</v>
      </c>
      <c r="AE191" s="152">
        <v>3553.4602749268552</v>
      </c>
      <c r="AF191" s="152">
        <v>3680.3695704599572</v>
      </c>
      <c r="AG191" s="152">
        <v>3680.3695704599572</v>
      </c>
      <c r="AH191" s="225">
        <v>3807.2788659930593</v>
      </c>
      <c r="AI191" s="225">
        <v>3807.2788659930593</v>
      </c>
      <c r="AJ191" s="225">
        <v>3934.1881615261614</v>
      </c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s="30" customFormat="1" outlineLevel="1" x14ac:dyDescent="0.25">
      <c r="A192"/>
      <c r="B192" s="15" t="s">
        <v>224</v>
      </c>
      <c r="C192" s="152">
        <f t="shared" ref="C192:AJ192" si="34">C182*ch4_gwp</f>
        <v>0</v>
      </c>
      <c r="D192" s="152">
        <f t="shared" si="34"/>
        <v>0</v>
      </c>
      <c r="E192" s="152">
        <f t="shared" si="34"/>
        <v>0</v>
      </c>
      <c r="F192" s="152">
        <f t="shared" si="34"/>
        <v>0</v>
      </c>
      <c r="G192" s="152">
        <f t="shared" si="34"/>
        <v>519.23099999999999</v>
      </c>
      <c r="H192" s="152">
        <f t="shared" si="34"/>
        <v>545.19254999999998</v>
      </c>
      <c r="I192" s="152">
        <f t="shared" si="34"/>
        <v>572.45217749999995</v>
      </c>
      <c r="J192" s="152">
        <f t="shared" si="34"/>
        <v>601.07478637500003</v>
      </c>
      <c r="K192" s="152">
        <f t="shared" si="34"/>
        <v>631.12852569375002</v>
      </c>
      <c r="L192" s="152">
        <f t="shared" si="34"/>
        <v>662.68495197843765</v>
      </c>
      <c r="M192" s="152">
        <f t="shared" si="34"/>
        <v>695.81919957735954</v>
      </c>
      <c r="N192" s="152">
        <f t="shared" si="34"/>
        <v>730.61015955622747</v>
      </c>
      <c r="O192" s="152">
        <f t="shared" si="34"/>
        <v>767.14066753403893</v>
      </c>
      <c r="P192" s="152">
        <f t="shared" si="34"/>
        <v>805.49770091074083</v>
      </c>
      <c r="Q192" s="152">
        <f t="shared" si="34"/>
        <v>845.77258595627791</v>
      </c>
      <c r="R192" s="152">
        <f t="shared" si="34"/>
        <v>888.06121525409185</v>
      </c>
      <c r="S192" s="152">
        <f t="shared" si="34"/>
        <v>932.46427601679648</v>
      </c>
      <c r="T192" s="152">
        <f t="shared" si="34"/>
        <v>979.08748981763642</v>
      </c>
      <c r="U192" s="152">
        <f t="shared" si="34"/>
        <v>1028.0418643085184</v>
      </c>
      <c r="V192" s="152">
        <f t="shared" si="34"/>
        <v>1079.4439575239444</v>
      </c>
      <c r="W192" s="152">
        <f t="shared" si="34"/>
        <v>1133.4161554001414</v>
      </c>
      <c r="X192" s="152">
        <f t="shared" si="34"/>
        <v>1190.0869631701487</v>
      </c>
      <c r="Y192" s="152">
        <f t="shared" si="34"/>
        <v>1249.5913113286563</v>
      </c>
      <c r="Z192" s="152">
        <f t="shared" si="34"/>
        <v>1312.0708768950892</v>
      </c>
      <c r="AA192" s="152">
        <f t="shared" si="34"/>
        <v>1377.6744207398438</v>
      </c>
      <c r="AB192" s="152">
        <f t="shared" si="34"/>
        <v>1446.558141776836</v>
      </c>
      <c r="AC192" s="152">
        <f t="shared" si="34"/>
        <v>1518.8860488656778</v>
      </c>
      <c r="AD192" s="152">
        <f t="shared" si="34"/>
        <v>1594.8303513089618</v>
      </c>
      <c r="AE192" s="152">
        <f t="shared" si="34"/>
        <v>1674.57186887441</v>
      </c>
      <c r="AF192" s="152">
        <f t="shared" si="34"/>
        <v>1758.3004623181305</v>
      </c>
      <c r="AG192" s="152">
        <f t="shared" si="34"/>
        <v>1846.2154854340372</v>
      </c>
      <c r="AH192" s="152">
        <f t="shared" si="34"/>
        <v>1938.5262597057392</v>
      </c>
      <c r="AI192" s="152">
        <f t="shared" si="34"/>
        <v>2035.4525726910263</v>
      </c>
      <c r="AJ192" s="152">
        <f t="shared" si="34"/>
        <v>2137.2252013255775</v>
      </c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s="30" customFormat="1" outlineLevel="1" x14ac:dyDescent="0.25">
      <c r="A193"/>
      <c r="B193" s="15" t="s">
        <v>225</v>
      </c>
      <c r="C193" s="152">
        <f t="shared" ref="C193:AJ193" si="35">C183*ch4_gwp</f>
        <v>0</v>
      </c>
      <c r="D193" s="152">
        <f t="shared" si="35"/>
        <v>0</v>
      </c>
      <c r="E193" s="152">
        <f t="shared" si="35"/>
        <v>0</v>
      </c>
      <c r="F193" s="152">
        <f t="shared" si="35"/>
        <v>0</v>
      </c>
      <c r="G193" s="152">
        <f t="shared" si="35"/>
        <v>865.38499999999999</v>
      </c>
      <c r="H193" s="152">
        <f t="shared" si="35"/>
        <v>908.65425000000005</v>
      </c>
      <c r="I193" s="152">
        <f t="shared" si="35"/>
        <v>954.08696250000014</v>
      </c>
      <c r="J193" s="152">
        <f t="shared" si="35"/>
        <v>1001.7913106250002</v>
      </c>
      <c r="K193" s="152">
        <f t="shared" si="35"/>
        <v>1051.8808761562502</v>
      </c>
      <c r="L193" s="152">
        <f t="shared" si="35"/>
        <v>1104.4749199640628</v>
      </c>
      <c r="M193" s="152">
        <f t="shared" si="35"/>
        <v>1159.698665962266</v>
      </c>
      <c r="N193" s="152">
        <f t="shared" si="35"/>
        <v>1217.6835992603792</v>
      </c>
      <c r="O193" s="152">
        <f t="shared" si="35"/>
        <v>1278.5677792233982</v>
      </c>
      <c r="P193" s="152">
        <f t="shared" si="35"/>
        <v>1342.4961681845682</v>
      </c>
      <c r="Q193" s="152">
        <f t="shared" si="35"/>
        <v>1409.6209765937965</v>
      </c>
      <c r="R193" s="152">
        <f t="shared" si="35"/>
        <v>1480.1020254234866</v>
      </c>
      <c r="S193" s="152">
        <f t="shared" si="35"/>
        <v>1554.1071266946608</v>
      </c>
      <c r="T193" s="152">
        <f t="shared" si="35"/>
        <v>1631.8124830293941</v>
      </c>
      <c r="U193" s="152">
        <f t="shared" si="35"/>
        <v>1713.4031071808638</v>
      </c>
      <c r="V193" s="152">
        <f t="shared" si="35"/>
        <v>1799.0732625399071</v>
      </c>
      <c r="W193" s="152">
        <f t="shared" si="35"/>
        <v>1889.0269256669026</v>
      </c>
      <c r="X193" s="152">
        <f t="shared" si="35"/>
        <v>1983.4782719502477</v>
      </c>
      <c r="Y193" s="152">
        <f t="shared" si="35"/>
        <v>2082.6521855477604</v>
      </c>
      <c r="Z193" s="152">
        <f t="shared" si="35"/>
        <v>2186.7847948251483</v>
      </c>
      <c r="AA193" s="152">
        <f t="shared" si="35"/>
        <v>2296.1240345664055</v>
      </c>
      <c r="AB193" s="152">
        <f t="shared" si="35"/>
        <v>2410.930236294726</v>
      </c>
      <c r="AC193" s="152">
        <f t="shared" si="35"/>
        <v>2531.4767481094627</v>
      </c>
      <c r="AD193" s="152">
        <f t="shared" si="35"/>
        <v>2658.0505855149358</v>
      </c>
      <c r="AE193" s="152">
        <f t="shared" si="35"/>
        <v>2790.9531147906828</v>
      </c>
      <c r="AF193" s="152">
        <f t="shared" si="35"/>
        <v>2930.5007705302169</v>
      </c>
      <c r="AG193" s="152">
        <f t="shared" si="35"/>
        <v>3077.0258090567277</v>
      </c>
      <c r="AH193" s="152">
        <f t="shared" si="35"/>
        <v>3230.8770995095642</v>
      </c>
      <c r="AI193" s="152">
        <f t="shared" si="35"/>
        <v>3392.4209544850423</v>
      </c>
      <c r="AJ193" s="152">
        <f t="shared" si="35"/>
        <v>3562.0420022092949</v>
      </c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s="30" customFormat="1" outlineLevel="1" x14ac:dyDescent="0.25">
      <c r="A194"/>
      <c r="B194" s="15" t="s">
        <v>226</v>
      </c>
      <c r="C194" s="152">
        <f t="shared" ref="C194:AJ194" si="36">C184*ch4_gwp</f>
        <v>0</v>
      </c>
      <c r="D194" s="152">
        <f t="shared" si="36"/>
        <v>0</v>
      </c>
      <c r="E194" s="152">
        <f t="shared" si="36"/>
        <v>0</v>
      </c>
      <c r="F194" s="152">
        <f t="shared" si="36"/>
        <v>0</v>
      </c>
      <c r="G194" s="152">
        <f t="shared" si="36"/>
        <v>1211.539</v>
      </c>
      <c r="H194" s="152">
        <f t="shared" si="36"/>
        <v>1272.1159499999999</v>
      </c>
      <c r="I194" s="152">
        <f t="shared" si="36"/>
        <v>1335.7217475</v>
      </c>
      <c r="J194" s="152">
        <f t="shared" si="36"/>
        <v>1402.5078348750001</v>
      </c>
      <c r="K194" s="152">
        <f t="shared" si="36"/>
        <v>1472.6332266187501</v>
      </c>
      <c r="L194" s="152">
        <f t="shared" si="36"/>
        <v>1546.2648879496878</v>
      </c>
      <c r="M194" s="152">
        <f t="shared" si="36"/>
        <v>1623.5781323471724</v>
      </c>
      <c r="N194" s="152">
        <f t="shared" si="36"/>
        <v>1704.7570389645309</v>
      </c>
      <c r="O194" s="152">
        <f t="shared" si="36"/>
        <v>1789.9948909127577</v>
      </c>
      <c r="P194" s="152">
        <f t="shared" si="36"/>
        <v>1879.4946354583956</v>
      </c>
      <c r="Q194" s="152">
        <f t="shared" si="36"/>
        <v>1973.4693672313153</v>
      </c>
      <c r="R194" s="152">
        <f t="shared" si="36"/>
        <v>2072.1428355928811</v>
      </c>
      <c r="S194" s="152">
        <f t="shared" si="36"/>
        <v>2175.7499773725253</v>
      </c>
      <c r="T194" s="152">
        <f t="shared" si="36"/>
        <v>2284.537476241152</v>
      </c>
      <c r="U194" s="152">
        <f t="shared" si="36"/>
        <v>2398.7643500532095</v>
      </c>
      <c r="V194" s="152">
        <f t="shared" si="36"/>
        <v>2518.7025675558698</v>
      </c>
      <c r="W194" s="152">
        <f t="shared" si="36"/>
        <v>2644.6376959336635</v>
      </c>
      <c r="X194" s="152">
        <f t="shared" si="36"/>
        <v>2776.869580730347</v>
      </c>
      <c r="Y194" s="152">
        <f t="shared" si="36"/>
        <v>2915.7130597668643</v>
      </c>
      <c r="Z194" s="152">
        <f t="shared" si="36"/>
        <v>3061.4987127552076</v>
      </c>
      <c r="AA194" s="152">
        <f t="shared" si="36"/>
        <v>3214.5736483929686</v>
      </c>
      <c r="AB194" s="152">
        <f t="shared" si="36"/>
        <v>3375.3023308126171</v>
      </c>
      <c r="AC194" s="152">
        <f t="shared" si="36"/>
        <v>3544.0674473532481</v>
      </c>
      <c r="AD194" s="152">
        <f t="shared" si="36"/>
        <v>3721.2708197209108</v>
      </c>
      <c r="AE194" s="152">
        <f t="shared" si="36"/>
        <v>3907.3343607069569</v>
      </c>
      <c r="AF194" s="152">
        <f t="shared" si="36"/>
        <v>4102.7010787423051</v>
      </c>
      <c r="AG194" s="152">
        <f t="shared" si="36"/>
        <v>4307.8361326794202</v>
      </c>
      <c r="AH194" s="152">
        <f t="shared" si="36"/>
        <v>4523.2279393133913</v>
      </c>
      <c r="AI194" s="152">
        <f t="shared" si="36"/>
        <v>4749.3893362790614</v>
      </c>
      <c r="AJ194" s="152">
        <f t="shared" si="36"/>
        <v>4986.858803093015</v>
      </c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s="30" customFormat="1" outlineLevel="1" x14ac:dyDescent="0.25">
      <c r="A195"/>
      <c r="B195" s="18" t="s">
        <v>234</v>
      </c>
      <c r="C195" s="152">
        <f t="shared" ref="C195:AJ195" si="37">C185*ch4_gwp</f>
        <v>1360</v>
      </c>
      <c r="D195" s="152">
        <f t="shared" si="37"/>
        <v>1360</v>
      </c>
      <c r="E195" s="152">
        <f t="shared" si="37"/>
        <v>1360</v>
      </c>
      <c r="F195" s="152">
        <f t="shared" si="37"/>
        <v>1360</v>
      </c>
      <c r="G195" s="152">
        <f t="shared" si="37"/>
        <v>1360</v>
      </c>
      <c r="H195" s="152">
        <f t="shared" si="37"/>
        <v>1360</v>
      </c>
      <c r="I195" s="152">
        <f t="shared" si="37"/>
        <v>1360</v>
      </c>
      <c r="J195" s="152">
        <f t="shared" si="37"/>
        <v>1360</v>
      </c>
      <c r="K195" s="152">
        <f t="shared" si="37"/>
        <v>1360</v>
      </c>
      <c r="L195" s="152">
        <f t="shared" si="37"/>
        <v>1360</v>
      </c>
      <c r="M195" s="152">
        <f t="shared" si="37"/>
        <v>1360</v>
      </c>
      <c r="N195" s="152">
        <f t="shared" si="37"/>
        <v>1360</v>
      </c>
      <c r="O195" s="152">
        <f t="shared" si="37"/>
        <v>1360</v>
      </c>
      <c r="P195" s="152">
        <f t="shared" si="37"/>
        <v>1360</v>
      </c>
      <c r="Q195" s="152">
        <f t="shared" si="37"/>
        <v>1360</v>
      </c>
      <c r="R195" s="152">
        <f t="shared" si="37"/>
        <v>1360</v>
      </c>
      <c r="S195" s="152">
        <f t="shared" si="37"/>
        <v>1360</v>
      </c>
      <c r="T195" s="152">
        <f t="shared" si="37"/>
        <v>1360</v>
      </c>
      <c r="U195" s="152">
        <f t="shared" si="37"/>
        <v>1360</v>
      </c>
      <c r="V195" s="152">
        <f t="shared" si="37"/>
        <v>1360</v>
      </c>
      <c r="W195" s="152">
        <f t="shared" si="37"/>
        <v>1360</v>
      </c>
      <c r="X195" s="152">
        <f t="shared" si="37"/>
        <v>1360</v>
      </c>
      <c r="Y195" s="152">
        <f t="shared" si="37"/>
        <v>1360</v>
      </c>
      <c r="Z195" s="152">
        <f t="shared" si="37"/>
        <v>1360</v>
      </c>
      <c r="AA195" s="152">
        <f t="shared" si="37"/>
        <v>1360</v>
      </c>
      <c r="AB195" s="152">
        <f t="shared" si="37"/>
        <v>1360</v>
      </c>
      <c r="AC195" s="152">
        <f t="shared" si="37"/>
        <v>1360</v>
      </c>
      <c r="AD195" s="152">
        <f t="shared" si="37"/>
        <v>1360</v>
      </c>
      <c r="AE195" s="152">
        <f t="shared" si="37"/>
        <v>1360</v>
      </c>
      <c r="AF195" s="152">
        <f t="shared" si="37"/>
        <v>1360</v>
      </c>
      <c r="AG195" s="152">
        <f t="shared" si="37"/>
        <v>1360</v>
      </c>
      <c r="AH195" s="152">
        <f t="shared" si="37"/>
        <v>1360</v>
      </c>
      <c r="AI195" s="152">
        <f t="shared" si="37"/>
        <v>1360</v>
      </c>
      <c r="AJ195" s="152">
        <f t="shared" si="37"/>
        <v>1360</v>
      </c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s="30" customFormat="1" outlineLevel="1" x14ac:dyDescent="0.25">
      <c r="A196"/>
      <c r="B196" s="15" t="s">
        <v>201</v>
      </c>
      <c r="C196" s="152">
        <f t="shared" ref="C196:AJ196" si="38">C186*ch4_gwp</f>
        <v>1360</v>
      </c>
      <c r="D196" s="152">
        <f t="shared" si="38"/>
        <v>1394</v>
      </c>
      <c r="E196" s="152">
        <f t="shared" si="38"/>
        <v>1428</v>
      </c>
      <c r="F196" s="152">
        <f t="shared" si="38"/>
        <v>1462</v>
      </c>
      <c r="G196" s="152">
        <f t="shared" si="38"/>
        <v>1496</v>
      </c>
      <c r="H196" s="152">
        <f t="shared" si="38"/>
        <v>1530</v>
      </c>
      <c r="I196" s="152">
        <f t="shared" si="38"/>
        <v>1564</v>
      </c>
      <c r="J196" s="152">
        <f t="shared" si="38"/>
        <v>1598</v>
      </c>
      <c r="K196" s="152">
        <f t="shared" si="38"/>
        <v>1632</v>
      </c>
      <c r="L196" s="152">
        <f t="shared" si="38"/>
        <v>1666</v>
      </c>
      <c r="M196" s="152">
        <f t="shared" si="38"/>
        <v>1700</v>
      </c>
      <c r="N196" s="152">
        <f t="shared" si="38"/>
        <v>1734</v>
      </c>
      <c r="O196" s="152">
        <f t="shared" si="38"/>
        <v>1768</v>
      </c>
      <c r="P196" s="152">
        <f t="shared" si="38"/>
        <v>1802</v>
      </c>
      <c r="Q196" s="152">
        <f t="shared" si="38"/>
        <v>1836</v>
      </c>
      <c r="R196" s="152">
        <f t="shared" si="38"/>
        <v>1870</v>
      </c>
      <c r="S196" s="152">
        <f t="shared" si="38"/>
        <v>1904</v>
      </c>
      <c r="T196" s="152">
        <f t="shared" si="38"/>
        <v>1938</v>
      </c>
      <c r="U196" s="152">
        <f t="shared" si="38"/>
        <v>1972</v>
      </c>
      <c r="V196" s="152">
        <f t="shared" si="38"/>
        <v>2006</v>
      </c>
      <c r="W196" s="152">
        <f t="shared" si="38"/>
        <v>2040</v>
      </c>
      <c r="X196" s="152">
        <f t="shared" si="38"/>
        <v>2074</v>
      </c>
      <c r="Y196" s="152">
        <f t="shared" si="38"/>
        <v>2108</v>
      </c>
      <c r="Z196" s="152">
        <f t="shared" si="38"/>
        <v>2142</v>
      </c>
      <c r="AA196" s="152">
        <f t="shared" si="38"/>
        <v>2176</v>
      </c>
      <c r="AB196" s="152">
        <f t="shared" si="38"/>
        <v>2210</v>
      </c>
      <c r="AC196" s="152">
        <f t="shared" si="38"/>
        <v>2244</v>
      </c>
      <c r="AD196" s="152">
        <f t="shared" si="38"/>
        <v>2278</v>
      </c>
      <c r="AE196" s="152">
        <f t="shared" si="38"/>
        <v>2312</v>
      </c>
      <c r="AF196" s="152">
        <f t="shared" si="38"/>
        <v>2346</v>
      </c>
      <c r="AG196" s="152">
        <f t="shared" si="38"/>
        <v>2380</v>
      </c>
      <c r="AH196" s="152">
        <f t="shared" si="38"/>
        <v>2414</v>
      </c>
      <c r="AI196" s="152">
        <f t="shared" si="38"/>
        <v>2448</v>
      </c>
      <c r="AJ196" s="152">
        <f t="shared" si="38"/>
        <v>2482</v>
      </c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s="30" customFormat="1" outlineLevel="1" x14ac:dyDescent="0.25">
      <c r="A197"/>
      <c r="B197" s="68" t="s">
        <v>227</v>
      </c>
      <c r="C197" s="152">
        <v>0</v>
      </c>
      <c r="D197" s="152">
        <v>0</v>
      </c>
      <c r="E197" s="152">
        <v>0</v>
      </c>
      <c r="F197" s="152">
        <v>0</v>
      </c>
      <c r="G197" s="152">
        <v>0</v>
      </c>
      <c r="H197" s="152">
        <v>0</v>
      </c>
      <c r="I197" s="152">
        <v>0</v>
      </c>
      <c r="J197" s="152">
        <v>0</v>
      </c>
      <c r="K197" s="152">
        <v>0</v>
      </c>
      <c r="L197" s="152">
        <v>0</v>
      </c>
      <c r="M197" s="152">
        <v>0</v>
      </c>
      <c r="N197" s="152">
        <v>0</v>
      </c>
      <c r="O197" s="152">
        <v>0</v>
      </c>
      <c r="P197" s="152">
        <v>0</v>
      </c>
      <c r="Q197" s="152">
        <v>0</v>
      </c>
      <c r="R197" s="152">
        <v>0</v>
      </c>
      <c r="S197" s="152">
        <v>0</v>
      </c>
      <c r="T197" s="152">
        <v>0</v>
      </c>
      <c r="U197" s="152">
        <v>0</v>
      </c>
      <c r="V197" s="152">
        <v>0</v>
      </c>
      <c r="W197" s="152">
        <v>0</v>
      </c>
      <c r="X197" s="152">
        <v>0</v>
      </c>
      <c r="Y197" s="152">
        <v>0</v>
      </c>
      <c r="Z197" s="152">
        <v>0</v>
      </c>
      <c r="AA197" s="152">
        <v>0</v>
      </c>
      <c r="AB197" s="152">
        <v>0</v>
      </c>
      <c r="AC197" s="152">
        <v>0</v>
      </c>
      <c r="AD197" s="152">
        <v>0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s="30" customFormat="1" outlineLevel="1" x14ac:dyDescent="0.25">
      <c r="A198"/>
      <c r="B198" s="163" t="s">
        <v>279</v>
      </c>
      <c r="C198" s="215"/>
      <c r="D198" s="215"/>
      <c r="E198" s="215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4"/>
      <c r="U198" s="164"/>
      <c r="V198" s="164"/>
      <c r="W198" s="164"/>
      <c r="X198" s="164"/>
      <c r="Y198" s="164"/>
      <c r="Z198" s="164"/>
      <c r="AA198" s="164"/>
      <c r="AB198" s="164"/>
      <c r="AC198" s="164"/>
      <c r="AD198" s="164"/>
      <c r="AE198" s="164"/>
      <c r="AF198" s="164"/>
      <c r="AG198" s="164"/>
      <c r="AH198" s="164"/>
      <c r="AI198" s="164"/>
      <c r="AJ198" s="164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s="30" customFormat="1" outlineLevel="1" x14ac:dyDescent="0.25">
      <c r="A199"/>
      <c r="B199" s="60" t="s">
        <v>260</v>
      </c>
      <c r="C199" s="152">
        <f t="array" ref="C199:AJ199">TRANSPOSE('Social Costs of GHGs'!I49:I82)</f>
        <v>5457.0997079233848</v>
      </c>
      <c r="D199" s="152">
        <v>5584.0090034564864</v>
      </c>
      <c r="E199" s="152">
        <v>5837.8275945226906</v>
      </c>
      <c r="F199" s="152">
        <v>5964.7368900557931</v>
      </c>
      <c r="G199" s="152">
        <v>6218.5554811219963</v>
      </c>
      <c r="H199" s="152">
        <v>6345.4647766550988</v>
      </c>
      <c r="I199" s="152">
        <v>6599.283367721303</v>
      </c>
      <c r="J199" s="152">
        <v>6853.1019587875062</v>
      </c>
      <c r="K199" s="152">
        <v>6980.0112543206087</v>
      </c>
      <c r="L199" s="152">
        <v>7233.8298453868128</v>
      </c>
      <c r="M199" s="152">
        <v>7487.6484364530161</v>
      </c>
      <c r="N199" s="152">
        <v>7614.5577319861186</v>
      </c>
      <c r="O199" s="152">
        <v>7868.3763230523227</v>
      </c>
      <c r="P199" s="152">
        <v>7995.2856185854243</v>
      </c>
      <c r="Q199" s="152">
        <v>8249.1042096516285</v>
      </c>
      <c r="R199" s="152">
        <v>8629.8320962509333</v>
      </c>
      <c r="S199" s="152">
        <v>8883.6506873171384</v>
      </c>
      <c r="T199" s="152">
        <v>9137.4692783833416</v>
      </c>
      <c r="U199" s="152">
        <v>9391.2878694495466</v>
      </c>
      <c r="V199" s="152">
        <v>9645.1064605157499</v>
      </c>
      <c r="W199" s="152">
        <v>9898.9250515819531</v>
      </c>
      <c r="X199" s="152">
        <v>10152.743642648158</v>
      </c>
      <c r="Y199" s="152">
        <v>10406.562233714361</v>
      </c>
      <c r="Z199" s="152">
        <v>10660.380824780566</v>
      </c>
      <c r="AA199" s="152">
        <v>10914.19941584677</v>
      </c>
      <c r="AB199" s="152">
        <v>11168.018006912973</v>
      </c>
      <c r="AC199" s="152">
        <v>11548.74589351228</v>
      </c>
      <c r="AD199" s="152">
        <v>11802.564484578483</v>
      </c>
      <c r="AE199" s="152">
        <v>12056.383075644688</v>
      </c>
      <c r="AF199" s="152">
        <v>12437.110962243993</v>
      </c>
      <c r="AG199" s="152">
        <v>12690.929553310198</v>
      </c>
      <c r="AH199" s="225">
        <v>12690.929553310198</v>
      </c>
      <c r="AI199" s="225">
        <v>12690.929553310198</v>
      </c>
      <c r="AJ199" s="225">
        <v>13960.022508641217</v>
      </c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s="30" customFormat="1" outlineLevel="1" x14ac:dyDescent="0.25">
      <c r="A200"/>
      <c r="B200" s="60" t="s">
        <v>261</v>
      </c>
      <c r="C200" s="152">
        <f t="array" ref="C200:AJ200">TRANSPOSE('Social Costs of GHGs'!J49:J82)</f>
        <v>17767.301374634277</v>
      </c>
      <c r="D200" s="152">
        <v>17767.301374634277</v>
      </c>
      <c r="E200" s="152">
        <v>19036.394329965296</v>
      </c>
      <c r="F200" s="152">
        <v>19036.394329965296</v>
      </c>
      <c r="G200" s="152">
        <v>19036.394329965296</v>
      </c>
      <c r="H200" s="152">
        <v>20305.487285296316</v>
      </c>
      <c r="I200" s="152">
        <v>20305.487285296316</v>
      </c>
      <c r="J200" s="152">
        <v>20305.487285296316</v>
      </c>
      <c r="K200" s="152">
        <v>21574.580240627336</v>
      </c>
      <c r="L200" s="152">
        <v>21574.580240627336</v>
      </c>
      <c r="M200" s="152">
        <v>21574.580240627336</v>
      </c>
      <c r="N200" s="152">
        <v>22843.673195958356</v>
      </c>
      <c r="O200" s="152">
        <v>22843.673195958356</v>
      </c>
      <c r="P200" s="152">
        <v>24112.766151289376</v>
      </c>
      <c r="Q200" s="152">
        <v>24112.766151289376</v>
      </c>
      <c r="R200" s="152">
        <v>24112.766151289376</v>
      </c>
      <c r="S200" s="152">
        <v>25381.859106620395</v>
      </c>
      <c r="T200" s="152">
        <v>25381.859106620395</v>
      </c>
      <c r="U200" s="152">
        <v>26650.952061951415</v>
      </c>
      <c r="V200" s="152">
        <v>26650.952061951415</v>
      </c>
      <c r="W200" s="152">
        <v>26650.952061951415</v>
      </c>
      <c r="X200" s="152">
        <v>27920.045017282435</v>
      </c>
      <c r="Y200" s="152">
        <v>27920.045017282435</v>
      </c>
      <c r="Z200" s="152">
        <v>29189.137972613455</v>
      </c>
      <c r="AA200" s="152">
        <v>29189.137972613455</v>
      </c>
      <c r="AB200" s="152">
        <v>29189.137972613455</v>
      </c>
      <c r="AC200" s="152">
        <v>30458.230927944474</v>
      </c>
      <c r="AD200" s="152">
        <v>30458.230927944474</v>
      </c>
      <c r="AE200" s="152">
        <v>31727.323883275494</v>
      </c>
      <c r="AF200" s="152">
        <v>31727.323883275494</v>
      </c>
      <c r="AG200" s="152">
        <v>32996.416838606514</v>
      </c>
      <c r="AH200" s="225">
        <v>32996.416838606514</v>
      </c>
      <c r="AI200" s="225">
        <v>32996.416838606514</v>
      </c>
      <c r="AJ200" s="225">
        <v>34265.509793937534</v>
      </c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s="30" customFormat="1" outlineLevel="1" x14ac:dyDescent="0.25">
      <c r="A201"/>
      <c r="B201" s="60" t="s">
        <v>262</v>
      </c>
      <c r="C201" s="152">
        <f t="array" ref="C201:AJ201">TRANSPOSE('Social Costs of GHGs'!K49:K82)</f>
        <v>26650.952061951415</v>
      </c>
      <c r="D201" s="152">
        <v>26650.952061951415</v>
      </c>
      <c r="E201" s="152">
        <v>27920.045017282435</v>
      </c>
      <c r="F201" s="152">
        <v>27920.045017282435</v>
      </c>
      <c r="G201" s="152">
        <v>29189.137972613455</v>
      </c>
      <c r="H201" s="152">
        <v>29189.137972613455</v>
      </c>
      <c r="I201" s="152">
        <v>29189.137972613455</v>
      </c>
      <c r="J201" s="152">
        <v>30458.230927944474</v>
      </c>
      <c r="K201" s="152">
        <v>30458.230927944474</v>
      </c>
      <c r="L201" s="152">
        <v>31727.323883275494</v>
      </c>
      <c r="M201" s="152">
        <v>31727.323883275494</v>
      </c>
      <c r="N201" s="152">
        <v>32996.416838606514</v>
      </c>
      <c r="O201" s="152">
        <v>32996.416838606514</v>
      </c>
      <c r="P201" s="152">
        <v>34265.509793937534</v>
      </c>
      <c r="Q201" s="152">
        <v>34265.509793937534</v>
      </c>
      <c r="R201" s="152">
        <v>35534.602749268553</v>
      </c>
      <c r="S201" s="152">
        <v>35534.602749268553</v>
      </c>
      <c r="T201" s="152">
        <v>36803.695704599573</v>
      </c>
      <c r="U201" s="152">
        <v>36803.695704599573</v>
      </c>
      <c r="V201" s="152">
        <v>38072.788659930593</v>
      </c>
      <c r="W201" s="152">
        <v>38072.788659930593</v>
      </c>
      <c r="X201" s="152">
        <v>39341.881615261613</v>
      </c>
      <c r="Y201" s="152">
        <v>39341.881615261613</v>
      </c>
      <c r="Z201" s="152">
        <v>40610.974570592633</v>
      </c>
      <c r="AA201" s="152">
        <v>40610.974570592633</v>
      </c>
      <c r="AB201" s="152">
        <v>41880.067525923652</v>
      </c>
      <c r="AC201" s="152">
        <v>41880.067525923652</v>
      </c>
      <c r="AD201" s="152">
        <v>43149.160481254672</v>
      </c>
      <c r="AE201" s="152">
        <v>43149.160481254672</v>
      </c>
      <c r="AF201" s="152">
        <v>44418.253436585692</v>
      </c>
      <c r="AG201" s="152">
        <v>44418.253436585692</v>
      </c>
      <c r="AH201" s="225">
        <v>45687.346391916712</v>
      </c>
      <c r="AI201" s="225">
        <v>45687.346391916712</v>
      </c>
      <c r="AJ201" s="225">
        <v>46956.439347247731</v>
      </c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s="30" customFormat="1" outlineLevel="1" x14ac:dyDescent="0.25">
      <c r="A202"/>
      <c r="B202" s="15" t="s">
        <v>224</v>
      </c>
      <c r="C202" s="152">
        <f t="shared" ref="C202:AJ202" si="39">C182*n2o_gwp</f>
        <v>0</v>
      </c>
      <c r="D202" s="152">
        <f t="shared" si="39"/>
        <v>0</v>
      </c>
      <c r="E202" s="152">
        <f t="shared" si="39"/>
        <v>0</v>
      </c>
      <c r="F202" s="152">
        <f t="shared" si="39"/>
        <v>0</v>
      </c>
      <c r="G202" s="152">
        <f t="shared" si="39"/>
        <v>4550.9070000000002</v>
      </c>
      <c r="H202" s="152">
        <f t="shared" si="39"/>
        <v>4778.4523499999996</v>
      </c>
      <c r="I202" s="152">
        <f t="shared" si="39"/>
        <v>5017.3749674999999</v>
      </c>
      <c r="J202" s="152">
        <f t="shared" si="39"/>
        <v>5268.2437158749999</v>
      </c>
      <c r="K202" s="152">
        <f t="shared" si="39"/>
        <v>5531.6559016687506</v>
      </c>
      <c r="L202" s="152">
        <f t="shared" si="39"/>
        <v>5808.2386967521888</v>
      </c>
      <c r="M202" s="152">
        <f t="shared" si="39"/>
        <v>6098.6506315897977</v>
      </c>
      <c r="N202" s="152">
        <f t="shared" si="39"/>
        <v>6403.5831631692881</v>
      </c>
      <c r="O202" s="152">
        <f t="shared" si="39"/>
        <v>6723.7623213277529</v>
      </c>
      <c r="P202" s="152">
        <f t="shared" si="39"/>
        <v>7059.95043739414</v>
      </c>
      <c r="Q202" s="152">
        <f t="shared" si="39"/>
        <v>7412.9479592638481</v>
      </c>
      <c r="R202" s="152">
        <f t="shared" si="39"/>
        <v>7783.59535722704</v>
      </c>
      <c r="S202" s="152">
        <f t="shared" si="39"/>
        <v>8172.775125088393</v>
      </c>
      <c r="T202" s="152">
        <f t="shared" si="39"/>
        <v>8581.4138813428126</v>
      </c>
      <c r="U202" s="152">
        <f t="shared" si="39"/>
        <v>9010.4845754099551</v>
      </c>
      <c r="V202" s="152">
        <f t="shared" si="39"/>
        <v>9461.008804180452</v>
      </c>
      <c r="W202" s="152">
        <f t="shared" si="39"/>
        <v>9934.0592443894748</v>
      </c>
      <c r="X202" s="152">
        <f t="shared" si="39"/>
        <v>10430.76220660895</v>
      </c>
      <c r="Y202" s="152">
        <f t="shared" si="39"/>
        <v>10952.3003169394</v>
      </c>
      <c r="Z202" s="152">
        <f t="shared" si="39"/>
        <v>11499.91533278637</v>
      </c>
      <c r="AA202" s="152">
        <f t="shared" si="39"/>
        <v>12074.91109942569</v>
      </c>
      <c r="AB202" s="152">
        <f t="shared" si="39"/>
        <v>12678.656654396975</v>
      </c>
      <c r="AC202" s="152">
        <f t="shared" si="39"/>
        <v>13312.589487116824</v>
      </c>
      <c r="AD202" s="152">
        <f t="shared" si="39"/>
        <v>13978.218961472665</v>
      </c>
      <c r="AE202" s="152">
        <f t="shared" si="39"/>
        <v>14677.1299095463</v>
      </c>
      <c r="AF202" s="152">
        <f t="shared" si="39"/>
        <v>15410.986405023616</v>
      </c>
      <c r="AG202" s="152">
        <f t="shared" si="39"/>
        <v>16181.535725274796</v>
      </c>
      <c r="AH202" s="152">
        <f t="shared" si="39"/>
        <v>16990.612511538537</v>
      </c>
      <c r="AI202" s="152">
        <f t="shared" si="39"/>
        <v>17840.143137115465</v>
      </c>
      <c r="AJ202" s="152">
        <f t="shared" si="39"/>
        <v>18732.150293971237</v>
      </c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s="30" customFormat="1" outlineLevel="1" x14ac:dyDescent="0.25">
      <c r="A203"/>
      <c r="B203" s="15" t="s">
        <v>225</v>
      </c>
      <c r="C203" s="152">
        <f t="shared" ref="C203:AJ203" si="40">C183*n2o_gwp</f>
        <v>0</v>
      </c>
      <c r="D203" s="152">
        <f t="shared" si="40"/>
        <v>0</v>
      </c>
      <c r="E203" s="152">
        <f t="shared" si="40"/>
        <v>0</v>
      </c>
      <c r="F203" s="152">
        <f t="shared" si="40"/>
        <v>0</v>
      </c>
      <c r="G203" s="152">
        <f t="shared" si="40"/>
        <v>7584.8450000000003</v>
      </c>
      <c r="H203" s="152">
        <f t="shared" si="40"/>
        <v>7964.0872500000005</v>
      </c>
      <c r="I203" s="152">
        <f t="shared" si="40"/>
        <v>8362.2916125000011</v>
      </c>
      <c r="J203" s="152">
        <f t="shared" si="40"/>
        <v>8780.4061931250017</v>
      </c>
      <c r="K203" s="152">
        <f t="shared" si="40"/>
        <v>9219.4265027812526</v>
      </c>
      <c r="L203" s="152">
        <f t="shared" si="40"/>
        <v>9680.3978279203147</v>
      </c>
      <c r="M203" s="152">
        <f t="shared" si="40"/>
        <v>10164.41771931633</v>
      </c>
      <c r="N203" s="152">
        <f t="shared" si="40"/>
        <v>10672.638605282147</v>
      </c>
      <c r="O203" s="152">
        <f t="shared" si="40"/>
        <v>11206.270535546255</v>
      </c>
      <c r="P203" s="152">
        <f t="shared" si="40"/>
        <v>11766.584062323569</v>
      </c>
      <c r="Q203" s="152">
        <f t="shared" si="40"/>
        <v>12354.913265439747</v>
      </c>
      <c r="R203" s="152">
        <f t="shared" si="40"/>
        <v>12972.658928711735</v>
      </c>
      <c r="S203" s="152">
        <f t="shared" si="40"/>
        <v>13621.291875147323</v>
      </c>
      <c r="T203" s="152">
        <f t="shared" si="40"/>
        <v>14302.356468904689</v>
      </c>
      <c r="U203" s="152">
        <f t="shared" si="40"/>
        <v>15017.474292349925</v>
      </c>
      <c r="V203" s="152">
        <f t="shared" si="40"/>
        <v>15768.348006967421</v>
      </c>
      <c r="W203" s="152">
        <f t="shared" si="40"/>
        <v>16556.765407315794</v>
      </c>
      <c r="X203" s="152">
        <f t="shared" si="40"/>
        <v>17384.603677681582</v>
      </c>
      <c r="Y203" s="152">
        <f t="shared" si="40"/>
        <v>18253.833861565665</v>
      </c>
      <c r="Z203" s="152">
        <f t="shared" si="40"/>
        <v>19166.525554643948</v>
      </c>
      <c r="AA203" s="152">
        <f t="shared" si="40"/>
        <v>20124.851832376142</v>
      </c>
      <c r="AB203" s="152">
        <f t="shared" si="40"/>
        <v>21131.094423994953</v>
      </c>
      <c r="AC203" s="152">
        <f t="shared" si="40"/>
        <v>22187.649145194704</v>
      </c>
      <c r="AD203" s="152">
        <f t="shared" si="40"/>
        <v>23297.031602454437</v>
      </c>
      <c r="AE203" s="152">
        <f t="shared" si="40"/>
        <v>24461.883182577159</v>
      </c>
      <c r="AF203" s="152">
        <f t="shared" si="40"/>
        <v>25684.977341706017</v>
      </c>
      <c r="AG203" s="152">
        <f t="shared" si="40"/>
        <v>26969.226208791319</v>
      </c>
      <c r="AH203" s="152">
        <f t="shared" si="40"/>
        <v>28317.687519230883</v>
      </c>
      <c r="AI203" s="152">
        <f t="shared" si="40"/>
        <v>29733.571895192432</v>
      </c>
      <c r="AJ203" s="152">
        <f t="shared" si="40"/>
        <v>31220.250489952057</v>
      </c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s="30" customFormat="1" outlineLevel="1" x14ac:dyDescent="0.25">
      <c r="A204"/>
      <c r="B204" s="15" t="s">
        <v>226</v>
      </c>
      <c r="C204" s="152">
        <f t="shared" ref="C204:AJ204" si="41">C184*n2o_gwp</f>
        <v>0</v>
      </c>
      <c r="D204" s="152">
        <f t="shared" si="41"/>
        <v>0</v>
      </c>
      <c r="E204" s="152">
        <f t="shared" si="41"/>
        <v>0</v>
      </c>
      <c r="F204" s="152">
        <f t="shared" si="41"/>
        <v>0</v>
      </c>
      <c r="G204" s="152">
        <f t="shared" si="41"/>
        <v>10618.782999999999</v>
      </c>
      <c r="H204" s="152">
        <f t="shared" si="41"/>
        <v>11149.72215</v>
      </c>
      <c r="I204" s="152">
        <f t="shared" si="41"/>
        <v>11707.208257499999</v>
      </c>
      <c r="J204" s="152">
        <f t="shared" si="41"/>
        <v>12292.568670375</v>
      </c>
      <c r="K204" s="152">
        <f t="shared" si="41"/>
        <v>12907.197103893752</v>
      </c>
      <c r="L204" s="152">
        <f t="shared" si="41"/>
        <v>13552.556959088441</v>
      </c>
      <c r="M204" s="152">
        <f t="shared" si="41"/>
        <v>14230.184807042862</v>
      </c>
      <c r="N204" s="152">
        <f t="shared" si="41"/>
        <v>14941.694047395007</v>
      </c>
      <c r="O204" s="152">
        <f t="shared" si="41"/>
        <v>15688.778749764759</v>
      </c>
      <c r="P204" s="152">
        <f t="shared" si="41"/>
        <v>16473.217687252996</v>
      </c>
      <c r="Q204" s="152">
        <f t="shared" si="41"/>
        <v>17296.878571615645</v>
      </c>
      <c r="R204" s="152">
        <f t="shared" si="41"/>
        <v>18161.722500196429</v>
      </c>
      <c r="S204" s="152">
        <f t="shared" si="41"/>
        <v>19069.808625206253</v>
      </c>
      <c r="T204" s="152">
        <f t="shared" si="41"/>
        <v>20023.299056466567</v>
      </c>
      <c r="U204" s="152">
        <f t="shared" si="41"/>
        <v>21024.464009289895</v>
      </c>
      <c r="V204" s="152">
        <f t="shared" si="41"/>
        <v>22075.687209754389</v>
      </c>
      <c r="W204" s="152">
        <f t="shared" si="41"/>
        <v>23179.471570242109</v>
      </c>
      <c r="X204" s="152">
        <f t="shared" si="41"/>
        <v>24338.445148754217</v>
      </c>
      <c r="Y204" s="152">
        <f t="shared" si="41"/>
        <v>25555.36740619193</v>
      </c>
      <c r="Z204" s="152">
        <f t="shared" si="41"/>
        <v>26833.135776501527</v>
      </c>
      <c r="AA204" s="152">
        <f t="shared" si="41"/>
        <v>28174.792565326607</v>
      </c>
      <c r="AB204" s="152">
        <f t="shared" si="41"/>
        <v>29583.532193592939</v>
      </c>
      <c r="AC204" s="152">
        <f t="shared" si="41"/>
        <v>31062.708803272588</v>
      </c>
      <c r="AD204" s="152">
        <f t="shared" si="41"/>
        <v>32615.844243436219</v>
      </c>
      <c r="AE204" s="152">
        <f t="shared" si="41"/>
        <v>34246.636455608037</v>
      </c>
      <c r="AF204" s="152">
        <f t="shared" si="41"/>
        <v>35958.968278388435</v>
      </c>
      <c r="AG204" s="152">
        <f t="shared" si="41"/>
        <v>37756.916692307859</v>
      </c>
      <c r="AH204" s="152">
        <f t="shared" si="41"/>
        <v>39644.762526923252</v>
      </c>
      <c r="AI204" s="152">
        <f t="shared" si="41"/>
        <v>41627.000653269417</v>
      </c>
      <c r="AJ204" s="152">
        <f t="shared" si="41"/>
        <v>43708.350685932892</v>
      </c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s="30" customFormat="1" outlineLevel="1" x14ac:dyDescent="0.25">
      <c r="A205"/>
      <c r="B205" s="18" t="s">
        <v>234</v>
      </c>
      <c r="C205" s="152">
        <f t="shared" ref="C205:AJ205" si="42">C185*n2o_gwp</f>
        <v>11920</v>
      </c>
      <c r="D205" s="152">
        <f t="shared" si="42"/>
        <v>11920</v>
      </c>
      <c r="E205" s="152">
        <f t="shared" si="42"/>
        <v>11920</v>
      </c>
      <c r="F205" s="152">
        <f t="shared" si="42"/>
        <v>11920</v>
      </c>
      <c r="G205" s="152">
        <f t="shared" si="42"/>
        <v>11920</v>
      </c>
      <c r="H205" s="152">
        <f t="shared" si="42"/>
        <v>11920</v>
      </c>
      <c r="I205" s="152">
        <f t="shared" si="42"/>
        <v>11920</v>
      </c>
      <c r="J205" s="152">
        <f t="shared" si="42"/>
        <v>11920</v>
      </c>
      <c r="K205" s="152">
        <f t="shared" si="42"/>
        <v>11920</v>
      </c>
      <c r="L205" s="152">
        <f t="shared" si="42"/>
        <v>11920</v>
      </c>
      <c r="M205" s="152">
        <f t="shared" si="42"/>
        <v>11920</v>
      </c>
      <c r="N205" s="152">
        <f t="shared" si="42"/>
        <v>11920</v>
      </c>
      <c r="O205" s="152">
        <f t="shared" si="42"/>
        <v>11920</v>
      </c>
      <c r="P205" s="152">
        <f t="shared" si="42"/>
        <v>11920</v>
      </c>
      <c r="Q205" s="152">
        <f t="shared" si="42"/>
        <v>11920</v>
      </c>
      <c r="R205" s="152">
        <f t="shared" si="42"/>
        <v>11920</v>
      </c>
      <c r="S205" s="152">
        <f t="shared" si="42"/>
        <v>11920</v>
      </c>
      <c r="T205" s="152">
        <f t="shared" si="42"/>
        <v>11920</v>
      </c>
      <c r="U205" s="152">
        <f t="shared" si="42"/>
        <v>11920</v>
      </c>
      <c r="V205" s="152">
        <f t="shared" si="42"/>
        <v>11920</v>
      </c>
      <c r="W205" s="152">
        <f t="shared" si="42"/>
        <v>11920</v>
      </c>
      <c r="X205" s="152">
        <f t="shared" si="42"/>
        <v>11920</v>
      </c>
      <c r="Y205" s="152">
        <f t="shared" si="42"/>
        <v>11920</v>
      </c>
      <c r="Z205" s="152">
        <f t="shared" si="42"/>
        <v>11920</v>
      </c>
      <c r="AA205" s="152">
        <f t="shared" si="42"/>
        <v>11920</v>
      </c>
      <c r="AB205" s="152">
        <f t="shared" si="42"/>
        <v>11920</v>
      </c>
      <c r="AC205" s="152">
        <f t="shared" si="42"/>
        <v>11920</v>
      </c>
      <c r="AD205" s="152">
        <f t="shared" si="42"/>
        <v>11920</v>
      </c>
      <c r="AE205" s="152">
        <f t="shared" si="42"/>
        <v>11920</v>
      </c>
      <c r="AF205" s="152">
        <f t="shared" si="42"/>
        <v>11920</v>
      </c>
      <c r="AG205" s="152">
        <f t="shared" si="42"/>
        <v>11920</v>
      </c>
      <c r="AH205" s="152">
        <f t="shared" si="42"/>
        <v>11920</v>
      </c>
      <c r="AI205" s="152">
        <f t="shared" si="42"/>
        <v>11920</v>
      </c>
      <c r="AJ205" s="152">
        <f t="shared" si="42"/>
        <v>11920</v>
      </c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  <row r="206" spans="1:53" s="30" customFormat="1" outlineLevel="1" x14ac:dyDescent="0.25">
      <c r="A206"/>
      <c r="B206" s="15" t="s">
        <v>201</v>
      </c>
      <c r="C206" s="152">
        <f t="shared" ref="C206:AJ206" si="43">C186*n2o_gwp</f>
        <v>11920</v>
      </c>
      <c r="D206" s="152">
        <f t="shared" si="43"/>
        <v>12218</v>
      </c>
      <c r="E206" s="152">
        <f t="shared" si="43"/>
        <v>12516</v>
      </c>
      <c r="F206" s="152">
        <f t="shared" si="43"/>
        <v>12814</v>
      </c>
      <c r="G206" s="152">
        <f t="shared" si="43"/>
        <v>13112</v>
      </c>
      <c r="H206" s="152">
        <f t="shared" si="43"/>
        <v>13410</v>
      </c>
      <c r="I206" s="152">
        <f t="shared" si="43"/>
        <v>13708</v>
      </c>
      <c r="J206" s="152">
        <f t="shared" si="43"/>
        <v>14006</v>
      </c>
      <c r="K206" s="152">
        <f t="shared" si="43"/>
        <v>14304</v>
      </c>
      <c r="L206" s="152">
        <f t="shared" si="43"/>
        <v>14602</v>
      </c>
      <c r="M206" s="152">
        <f t="shared" si="43"/>
        <v>14900</v>
      </c>
      <c r="N206" s="152">
        <f t="shared" si="43"/>
        <v>15198</v>
      </c>
      <c r="O206" s="152">
        <f t="shared" si="43"/>
        <v>15496</v>
      </c>
      <c r="P206" s="152">
        <f t="shared" si="43"/>
        <v>15794</v>
      </c>
      <c r="Q206" s="152">
        <f t="shared" si="43"/>
        <v>16092</v>
      </c>
      <c r="R206" s="152">
        <f t="shared" si="43"/>
        <v>16390</v>
      </c>
      <c r="S206" s="152">
        <f t="shared" si="43"/>
        <v>16688</v>
      </c>
      <c r="T206" s="152">
        <f t="shared" si="43"/>
        <v>16986</v>
      </c>
      <c r="U206" s="152">
        <f t="shared" si="43"/>
        <v>17284</v>
      </c>
      <c r="V206" s="152">
        <f t="shared" si="43"/>
        <v>17582</v>
      </c>
      <c r="W206" s="152">
        <f t="shared" si="43"/>
        <v>17880</v>
      </c>
      <c r="X206" s="152">
        <f t="shared" si="43"/>
        <v>18178</v>
      </c>
      <c r="Y206" s="152">
        <f t="shared" si="43"/>
        <v>18476</v>
      </c>
      <c r="Z206" s="152">
        <f t="shared" si="43"/>
        <v>18774</v>
      </c>
      <c r="AA206" s="152">
        <f t="shared" si="43"/>
        <v>19072</v>
      </c>
      <c r="AB206" s="152">
        <f t="shared" si="43"/>
        <v>19370</v>
      </c>
      <c r="AC206" s="152">
        <f t="shared" si="43"/>
        <v>19668</v>
      </c>
      <c r="AD206" s="152">
        <f t="shared" si="43"/>
        <v>19966</v>
      </c>
      <c r="AE206" s="152">
        <f t="shared" si="43"/>
        <v>20264</v>
      </c>
      <c r="AF206" s="152">
        <f t="shared" si="43"/>
        <v>20562</v>
      </c>
      <c r="AG206" s="152">
        <f t="shared" si="43"/>
        <v>20860</v>
      </c>
      <c r="AH206" s="152">
        <f t="shared" si="43"/>
        <v>21158</v>
      </c>
      <c r="AI206" s="152">
        <f t="shared" si="43"/>
        <v>21456</v>
      </c>
      <c r="AJ206" s="152">
        <f t="shared" si="43"/>
        <v>21754</v>
      </c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</row>
    <row r="207" spans="1:53" s="30" customFormat="1" outlineLevel="1" x14ac:dyDescent="0.25">
      <c r="A207"/>
      <c r="B207" s="68" t="s">
        <v>227</v>
      </c>
      <c r="C207" s="152">
        <v>0</v>
      </c>
      <c r="D207" s="152">
        <v>0</v>
      </c>
      <c r="E207" s="152">
        <v>0</v>
      </c>
      <c r="F207" s="152">
        <v>0</v>
      </c>
      <c r="G207" s="152">
        <v>0</v>
      </c>
      <c r="H207" s="152">
        <v>0</v>
      </c>
      <c r="I207" s="152">
        <v>0</v>
      </c>
      <c r="J207" s="152">
        <v>0</v>
      </c>
      <c r="K207" s="152">
        <v>0</v>
      </c>
      <c r="L207" s="152">
        <v>0</v>
      </c>
      <c r="M207" s="152">
        <v>0</v>
      </c>
      <c r="N207" s="152">
        <v>0</v>
      </c>
      <c r="O207" s="152">
        <v>0</v>
      </c>
      <c r="P207" s="152">
        <v>0</v>
      </c>
      <c r="Q207" s="152">
        <v>0</v>
      </c>
      <c r="R207" s="152">
        <v>0</v>
      </c>
      <c r="S207" s="152">
        <v>0</v>
      </c>
      <c r="T207" s="152">
        <v>0</v>
      </c>
      <c r="U207" s="152">
        <v>0</v>
      </c>
      <c r="V207" s="152">
        <v>0</v>
      </c>
      <c r="W207" s="152">
        <v>0</v>
      </c>
      <c r="X207" s="152">
        <v>0</v>
      </c>
      <c r="Y207" s="152">
        <v>0</v>
      </c>
      <c r="Z207" s="152">
        <v>0</v>
      </c>
      <c r="AA207" s="152">
        <v>0</v>
      </c>
      <c r="AB207" s="152">
        <v>0</v>
      </c>
      <c r="AC207" s="152">
        <v>0</v>
      </c>
      <c r="AD207" s="152">
        <v>0</v>
      </c>
      <c r="AE207" s="152">
        <v>0</v>
      </c>
      <c r="AF207" s="152">
        <v>0</v>
      </c>
      <c r="AG207" s="152">
        <v>0</v>
      </c>
      <c r="AH207" s="152">
        <v>0</v>
      </c>
      <c r="AI207" s="152">
        <v>0</v>
      </c>
      <c r="AJ207" s="152">
        <v>0</v>
      </c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</row>
    <row r="208" spans="1:53" s="30" customFormat="1" outlineLevel="1" x14ac:dyDescent="0.25">
      <c r="A208"/>
      <c r="B208" s="163" t="s">
        <v>259</v>
      </c>
      <c r="C208" s="215"/>
      <c r="D208" s="215"/>
      <c r="E208" s="215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  <c r="Q208" s="164"/>
      <c r="R208" s="164"/>
      <c r="S208" s="164"/>
      <c r="T208" s="164"/>
      <c r="U208" s="164"/>
      <c r="V208" s="164"/>
      <c r="W208" s="164"/>
      <c r="X208" s="164"/>
      <c r="Y208" s="164"/>
      <c r="Z208" s="164"/>
      <c r="AA208" s="164"/>
      <c r="AB208" s="164"/>
      <c r="AC208" s="164"/>
      <c r="AD208" s="164"/>
      <c r="AE208" s="164"/>
      <c r="AF208" s="164"/>
      <c r="AG208" s="164"/>
      <c r="AH208" s="164"/>
      <c r="AI208" s="164"/>
      <c r="AJ208" s="164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</row>
    <row r="209" spans="1:53" s="30" customFormat="1" outlineLevel="1" x14ac:dyDescent="0.25">
      <c r="A209"/>
      <c r="B209" s="163" t="s">
        <v>197</v>
      </c>
      <c r="C209" s="215"/>
      <c r="D209" s="215"/>
      <c r="E209" s="215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  <c r="Q209" s="164"/>
      <c r="R209" s="164"/>
      <c r="S209" s="164"/>
      <c r="T209" s="164"/>
      <c r="U209" s="164"/>
      <c r="V209" s="164"/>
      <c r="W209" s="164"/>
      <c r="X209" s="164"/>
      <c r="Y209" s="164"/>
      <c r="Z209" s="164"/>
      <c r="AA209" s="164"/>
      <c r="AB209" s="164"/>
      <c r="AC209" s="164"/>
      <c r="AD209" s="164"/>
      <c r="AE209" s="164"/>
      <c r="AF209" s="164"/>
      <c r="AG209" s="164"/>
      <c r="AH209" s="164"/>
      <c r="AI209" s="164"/>
      <c r="AJ209" s="164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</row>
    <row r="210" spans="1:53" s="30" customFormat="1" outlineLevel="1" x14ac:dyDescent="0.25">
      <c r="A210"/>
      <c r="B210" s="18" t="s">
        <v>88</v>
      </c>
      <c r="C210" s="131">
        <f t="shared" ref="C210:AJ210" si="44">SUM(C152:C159)</f>
        <v>9.1834000000000013E-4</v>
      </c>
      <c r="D210" s="131">
        <f t="shared" si="44"/>
        <v>9.1834000000000013E-4</v>
      </c>
      <c r="E210" s="131">
        <f t="shared" si="44"/>
        <v>9.7418500000000013E-4</v>
      </c>
      <c r="F210" s="131">
        <f t="shared" si="44"/>
        <v>1.9294336877677429</v>
      </c>
      <c r="G210" s="131">
        <f t="shared" si="44"/>
        <v>1.9294336877677429</v>
      </c>
      <c r="H210" s="131">
        <f t="shared" si="44"/>
        <v>1.9294336877677429</v>
      </c>
      <c r="I210" s="131">
        <f t="shared" si="44"/>
        <v>1.9294336877677429</v>
      </c>
      <c r="J210" s="131">
        <f t="shared" si="44"/>
        <v>1.9294336877677429</v>
      </c>
      <c r="K210" s="131">
        <f t="shared" si="44"/>
        <v>1.9294336877677429</v>
      </c>
      <c r="L210" s="131">
        <f t="shared" si="44"/>
        <v>1.9294336877677429</v>
      </c>
      <c r="M210" s="131">
        <f t="shared" si="44"/>
        <v>1.9294336877677429</v>
      </c>
      <c r="N210" s="131">
        <f t="shared" si="44"/>
        <v>1.9294336877677429</v>
      </c>
      <c r="O210" s="131">
        <f t="shared" si="44"/>
        <v>1.9294336877677429</v>
      </c>
      <c r="P210" s="131">
        <f t="shared" si="44"/>
        <v>1.9294336877677429</v>
      </c>
      <c r="Q210" s="131">
        <f t="shared" si="44"/>
        <v>1.9294336877677429</v>
      </c>
      <c r="R210" s="131">
        <f t="shared" si="44"/>
        <v>1.9294336877677429</v>
      </c>
      <c r="S210" s="131">
        <f t="shared" si="44"/>
        <v>1.9294336877677429</v>
      </c>
      <c r="T210" s="131">
        <f t="shared" si="44"/>
        <v>1.9294336877677429</v>
      </c>
      <c r="U210" s="131">
        <f t="shared" si="44"/>
        <v>1.9294336877677429</v>
      </c>
      <c r="V210" s="131">
        <f t="shared" si="44"/>
        <v>1.9294336877677429</v>
      </c>
      <c r="W210" s="131">
        <f t="shared" si="44"/>
        <v>1.9294336877677429</v>
      </c>
      <c r="X210" s="131">
        <f t="shared" si="44"/>
        <v>1.9294336877677429</v>
      </c>
      <c r="Y210" s="131">
        <f t="shared" si="44"/>
        <v>1.9294336877677429</v>
      </c>
      <c r="Z210" s="131">
        <f t="shared" si="44"/>
        <v>1.9294336877677429</v>
      </c>
      <c r="AA210" s="131">
        <f t="shared" si="44"/>
        <v>1.9294336877677429</v>
      </c>
      <c r="AB210" s="131">
        <f t="shared" si="44"/>
        <v>1.9294336877677429</v>
      </c>
      <c r="AC210" s="131">
        <f t="shared" si="44"/>
        <v>1.9294336877677429</v>
      </c>
      <c r="AD210" s="131">
        <f t="shared" si="44"/>
        <v>1.9294336877677429</v>
      </c>
      <c r="AE210" s="131">
        <f t="shared" si="44"/>
        <v>1.9294336877677429</v>
      </c>
      <c r="AF210" s="131">
        <f t="shared" si="44"/>
        <v>1.9294336877677429</v>
      </c>
      <c r="AG210" s="131">
        <f t="shared" si="44"/>
        <v>1.9294336877677429</v>
      </c>
      <c r="AH210" s="131">
        <f t="shared" si="44"/>
        <v>1.9294336877677429</v>
      </c>
      <c r="AI210" s="131">
        <f t="shared" si="44"/>
        <v>1.9294336877677429</v>
      </c>
      <c r="AJ210" s="131">
        <f t="shared" si="44"/>
        <v>1.929489532767743</v>
      </c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</row>
    <row r="211" spans="1:53" s="30" customFormat="1" outlineLevel="1" x14ac:dyDescent="0.25">
      <c r="A211"/>
      <c r="B211" s="18" t="s">
        <v>86</v>
      </c>
      <c r="C211" s="45">
        <f t="shared" ref="C211:AJ211" si="45">VLOOKUP(ghg_costs,$B$179:$AJ$187,C150-$C$150+2,0)</f>
        <v>0</v>
      </c>
      <c r="D211" s="45">
        <f t="shared" si="45"/>
        <v>0</v>
      </c>
      <c r="E211" s="45">
        <f t="shared" si="45"/>
        <v>0</v>
      </c>
      <c r="F211" s="45">
        <f t="shared" si="45"/>
        <v>0</v>
      </c>
      <c r="G211" s="45">
        <f t="shared" si="45"/>
        <v>0</v>
      </c>
      <c r="H211" s="45">
        <f t="shared" si="45"/>
        <v>0</v>
      </c>
      <c r="I211" s="45">
        <f t="shared" si="45"/>
        <v>0</v>
      </c>
      <c r="J211" s="45">
        <f t="shared" si="45"/>
        <v>0</v>
      </c>
      <c r="K211" s="45">
        <f t="shared" si="45"/>
        <v>0</v>
      </c>
      <c r="L211" s="45">
        <f t="shared" si="45"/>
        <v>0</v>
      </c>
      <c r="M211" s="45">
        <f t="shared" si="45"/>
        <v>0</v>
      </c>
      <c r="N211" s="45">
        <f t="shared" si="45"/>
        <v>0</v>
      </c>
      <c r="O211" s="45">
        <f t="shared" si="45"/>
        <v>0</v>
      </c>
      <c r="P211" s="45">
        <f t="shared" si="45"/>
        <v>0</v>
      </c>
      <c r="Q211" s="45">
        <f t="shared" si="45"/>
        <v>0</v>
      </c>
      <c r="R211" s="45">
        <f t="shared" si="45"/>
        <v>0</v>
      </c>
      <c r="S211" s="45">
        <f t="shared" si="45"/>
        <v>0</v>
      </c>
      <c r="T211" s="45">
        <f t="shared" si="45"/>
        <v>0</v>
      </c>
      <c r="U211" s="45">
        <f t="shared" si="45"/>
        <v>0</v>
      </c>
      <c r="V211" s="45">
        <f t="shared" si="45"/>
        <v>0</v>
      </c>
      <c r="W211" s="45">
        <f t="shared" si="45"/>
        <v>0</v>
      </c>
      <c r="X211" s="45">
        <f t="shared" si="45"/>
        <v>0</v>
      </c>
      <c r="Y211" s="45">
        <f t="shared" si="45"/>
        <v>0</v>
      </c>
      <c r="Z211" s="45">
        <f t="shared" si="45"/>
        <v>0</v>
      </c>
      <c r="AA211" s="45">
        <f t="shared" si="45"/>
        <v>0</v>
      </c>
      <c r="AB211" s="45">
        <f t="shared" si="45"/>
        <v>0</v>
      </c>
      <c r="AC211" s="45">
        <f t="shared" si="45"/>
        <v>0</v>
      </c>
      <c r="AD211" s="45">
        <f t="shared" si="45"/>
        <v>0</v>
      </c>
      <c r="AE211" s="45">
        <f t="shared" si="45"/>
        <v>0</v>
      </c>
      <c r="AF211" s="45">
        <f t="shared" si="45"/>
        <v>0</v>
      </c>
      <c r="AG211" s="45">
        <f t="shared" si="45"/>
        <v>0</v>
      </c>
      <c r="AH211" s="45">
        <f t="shared" si="45"/>
        <v>0</v>
      </c>
      <c r="AI211" s="45">
        <f t="shared" si="45"/>
        <v>0</v>
      </c>
      <c r="AJ211" s="45">
        <f t="shared" si="45"/>
        <v>0</v>
      </c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</row>
    <row r="212" spans="1:53" s="30" customFormat="1" outlineLevel="1" x14ac:dyDescent="0.25">
      <c r="A212"/>
      <c r="B212" s="112" t="s">
        <v>87</v>
      </c>
      <c r="C212" s="217">
        <v>0</v>
      </c>
      <c r="D212" s="217">
        <v>0</v>
      </c>
      <c r="E212" s="217">
        <v>0</v>
      </c>
      <c r="F212" s="217">
        <v>0</v>
      </c>
      <c r="G212" s="217">
        <f t="shared" ref="G212:AJ212" si="46">IF(seq_credit="no",IF(G210*G211&lt;0,0,G210*G211),G210*G211)</f>
        <v>0</v>
      </c>
      <c r="H212" s="217">
        <f t="shared" si="46"/>
        <v>0</v>
      </c>
      <c r="I212" s="217">
        <f t="shared" si="46"/>
        <v>0</v>
      </c>
      <c r="J212" s="217">
        <f t="shared" si="46"/>
        <v>0</v>
      </c>
      <c r="K212" s="217">
        <f t="shared" si="46"/>
        <v>0</v>
      </c>
      <c r="L212" s="217">
        <f t="shared" si="46"/>
        <v>0</v>
      </c>
      <c r="M212" s="217">
        <f t="shared" si="46"/>
        <v>0</v>
      </c>
      <c r="N212" s="217">
        <f t="shared" si="46"/>
        <v>0</v>
      </c>
      <c r="O212" s="217">
        <f t="shared" si="46"/>
        <v>0</v>
      </c>
      <c r="P212" s="217">
        <f t="shared" si="46"/>
        <v>0</v>
      </c>
      <c r="Q212" s="217">
        <f t="shared" si="46"/>
        <v>0</v>
      </c>
      <c r="R212" s="217">
        <f t="shared" si="46"/>
        <v>0</v>
      </c>
      <c r="S212" s="217">
        <f t="shared" si="46"/>
        <v>0</v>
      </c>
      <c r="T212" s="217">
        <f t="shared" si="46"/>
        <v>0</v>
      </c>
      <c r="U212" s="217">
        <f t="shared" si="46"/>
        <v>0</v>
      </c>
      <c r="V212" s="217">
        <f t="shared" si="46"/>
        <v>0</v>
      </c>
      <c r="W212" s="217">
        <f t="shared" si="46"/>
        <v>0</v>
      </c>
      <c r="X212" s="217">
        <f t="shared" si="46"/>
        <v>0</v>
      </c>
      <c r="Y212" s="217">
        <f t="shared" si="46"/>
        <v>0</v>
      </c>
      <c r="Z212" s="217">
        <f t="shared" si="46"/>
        <v>0</v>
      </c>
      <c r="AA212" s="217">
        <f t="shared" si="46"/>
        <v>0</v>
      </c>
      <c r="AB212" s="217">
        <f t="shared" si="46"/>
        <v>0</v>
      </c>
      <c r="AC212" s="217">
        <f t="shared" si="46"/>
        <v>0</v>
      </c>
      <c r="AD212" s="217">
        <f t="shared" si="46"/>
        <v>0</v>
      </c>
      <c r="AE212" s="217">
        <f t="shared" si="46"/>
        <v>0</v>
      </c>
      <c r="AF212" s="217">
        <f t="shared" si="46"/>
        <v>0</v>
      </c>
      <c r="AG212" s="217">
        <f t="shared" si="46"/>
        <v>0</v>
      </c>
      <c r="AH212" s="217">
        <f t="shared" si="46"/>
        <v>0</v>
      </c>
      <c r="AI212" s="217">
        <f t="shared" si="46"/>
        <v>0</v>
      </c>
      <c r="AJ212" s="217">
        <f t="shared" si="46"/>
        <v>0</v>
      </c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</row>
    <row r="213" spans="1:53" s="30" customFormat="1" outlineLevel="1" x14ac:dyDescent="0.25">
      <c r="A213"/>
      <c r="B213" s="163" t="s">
        <v>91</v>
      </c>
      <c r="C213" s="215"/>
      <c r="D213" s="215"/>
      <c r="E213" s="215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  <c r="Q213" s="164"/>
      <c r="R213" s="164"/>
      <c r="S213" s="164"/>
      <c r="T213" s="164"/>
      <c r="U213" s="164"/>
      <c r="V213" s="164"/>
      <c r="W213" s="164"/>
      <c r="X213" s="164"/>
      <c r="Y213" s="164"/>
      <c r="Z213" s="164"/>
      <c r="AA213" s="164"/>
      <c r="AB213" s="164"/>
      <c r="AC213" s="164"/>
      <c r="AD213" s="164"/>
      <c r="AE213" s="164"/>
      <c r="AF213" s="164"/>
      <c r="AG213" s="164"/>
      <c r="AH213" s="164"/>
      <c r="AI213" s="164"/>
      <c r="AJ213" s="164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</row>
    <row r="214" spans="1:53" s="30" customFormat="1" outlineLevel="1" x14ac:dyDescent="0.25">
      <c r="A214"/>
      <c r="B214" s="18" t="s">
        <v>90</v>
      </c>
      <c r="C214" s="131">
        <f t="shared" ref="C214:AJ214" si="47">SUM(C161:C168)</f>
        <v>7.9175799999999999E-7</v>
      </c>
      <c r="D214" s="131">
        <f t="shared" si="47"/>
        <v>7.9175799999999999E-7</v>
      </c>
      <c r="E214" s="131">
        <f t="shared" si="47"/>
        <v>8.5132599999999998E-7</v>
      </c>
      <c r="F214" s="131">
        <f t="shared" si="47"/>
        <v>1.5258916877463308E-2</v>
      </c>
      <c r="G214" s="131">
        <f>SUM(G161:G168)</f>
        <v>1.5258916877463308E-2</v>
      </c>
      <c r="H214" s="131">
        <f t="shared" si="47"/>
        <v>1.5258916877463308E-2</v>
      </c>
      <c r="I214" s="131">
        <f t="shared" si="47"/>
        <v>1.5258916877463308E-2</v>
      </c>
      <c r="J214" s="131">
        <f t="shared" si="47"/>
        <v>1.5258916877463308E-2</v>
      </c>
      <c r="K214" s="131">
        <f t="shared" si="47"/>
        <v>1.5258916877463308E-2</v>
      </c>
      <c r="L214" s="131">
        <f t="shared" si="47"/>
        <v>1.5258916877463308E-2</v>
      </c>
      <c r="M214" s="131">
        <f t="shared" si="47"/>
        <v>1.5258916877463308E-2</v>
      </c>
      <c r="N214" s="131">
        <f t="shared" si="47"/>
        <v>1.5258916877463308E-2</v>
      </c>
      <c r="O214" s="131">
        <f t="shared" si="47"/>
        <v>1.5258916877463308E-2</v>
      </c>
      <c r="P214" s="131">
        <f t="shared" si="47"/>
        <v>1.5258916877463308E-2</v>
      </c>
      <c r="Q214" s="131">
        <f t="shared" si="47"/>
        <v>1.5258916877463308E-2</v>
      </c>
      <c r="R214" s="131">
        <f t="shared" si="47"/>
        <v>1.5258916877463308E-2</v>
      </c>
      <c r="S214" s="131">
        <f t="shared" si="47"/>
        <v>1.5258916877463308E-2</v>
      </c>
      <c r="T214" s="131">
        <f t="shared" si="47"/>
        <v>1.5258916877463308E-2</v>
      </c>
      <c r="U214" s="131">
        <f t="shared" si="47"/>
        <v>1.5258916877463308E-2</v>
      </c>
      <c r="V214" s="131">
        <f t="shared" si="47"/>
        <v>1.5258916877463308E-2</v>
      </c>
      <c r="W214" s="131">
        <f t="shared" si="47"/>
        <v>1.5258916877463308E-2</v>
      </c>
      <c r="X214" s="131">
        <f t="shared" si="47"/>
        <v>1.5258916877463308E-2</v>
      </c>
      <c r="Y214" s="131">
        <f t="shared" si="47"/>
        <v>1.5258916877463308E-2</v>
      </c>
      <c r="Z214" s="131">
        <f t="shared" si="47"/>
        <v>1.5258916877463308E-2</v>
      </c>
      <c r="AA214" s="131">
        <f t="shared" si="47"/>
        <v>1.5258916877463308E-2</v>
      </c>
      <c r="AB214" s="131">
        <f t="shared" si="47"/>
        <v>1.5258916877463308E-2</v>
      </c>
      <c r="AC214" s="131">
        <f t="shared" si="47"/>
        <v>1.5258916877463308E-2</v>
      </c>
      <c r="AD214" s="131">
        <f t="shared" si="47"/>
        <v>1.5258916877463308E-2</v>
      </c>
      <c r="AE214" s="131">
        <f t="shared" si="47"/>
        <v>1.5258916877463308E-2</v>
      </c>
      <c r="AF214" s="131">
        <f t="shared" si="47"/>
        <v>1.5258916877463308E-2</v>
      </c>
      <c r="AG214" s="131">
        <f t="shared" si="47"/>
        <v>1.5258916877463308E-2</v>
      </c>
      <c r="AH214" s="131">
        <f t="shared" si="47"/>
        <v>1.5258916877463308E-2</v>
      </c>
      <c r="AI214" s="131">
        <f t="shared" si="47"/>
        <v>1.5258916877463308E-2</v>
      </c>
      <c r="AJ214" s="131">
        <f t="shared" si="47"/>
        <v>1.5258976445463307E-2</v>
      </c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</row>
    <row r="215" spans="1:53" s="30" customFormat="1" outlineLevel="1" x14ac:dyDescent="0.25">
      <c r="A215"/>
      <c r="B215" s="18" t="s">
        <v>89</v>
      </c>
      <c r="C215" s="45">
        <f t="shared" ref="C215:AJ215" si="48">VLOOKUP(ghg_costs,$B$189:$AJ$197,C150-$C$150+2,0)</f>
        <v>0</v>
      </c>
      <c r="D215" s="45">
        <f t="shared" si="48"/>
        <v>0</v>
      </c>
      <c r="E215" s="45">
        <f t="shared" si="48"/>
        <v>0</v>
      </c>
      <c r="F215" s="45">
        <f t="shared" si="48"/>
        <v>0</v>
      </c>
      <c r="G215" s="45">
        <f t="shared" si="48"/>
        <v>0</v>
      </c>
      <c r="H215" s="45">
        <f t="shared" si="48"/>
        <v>0</v>
      </c>
      <c r="I215" s="45">
        <f t="shared" si="48"/>
        <v>0</v>
      </c>
      <c r="J215" s="45">
        <f t="shared" si="48"/>
        <v>0</v>
      </c>
      <c r="K215" s="45">
        <f t="shared" si="48"/>
        <v>0</v>
      </c>
      <c r="L215" s="45">
        <f t="shared" si="48"/>
        <v>0</v>
      </c>
      <c r="M215" s="45">
        <f t="shared" si="48"/>
        <v>0</v>
      </c>
      <c r="N215" s="45">
        <f t="shared" si="48"/>
        <v>0</v>
      </c>
      <c r="O215" s="45">
        <f t="shared" si="48"/>
        <v>0</v>
      </c>
      <c r="P215" s="45">
        <f t="shared" si="48"/>
        <v>0</v>
      </c>
      <c r="Q215" s="45">
        <f t="shared" si="48"/>
        <v>0</v>
      </c>
      <c r="R215" s="45">
        <f t="shared" si="48"/>
        <v>0</v>
      </c>
      <c r="S215" s="45">
        <f t="shared" si="48"/>
        <v>0</v>
      </c>
      <c r="T215" s="45">
        <f t="shared" si="48"/>
        <v>0</v>
      </c>
      <c r="U215" s="45">
        <f t="shared" si="48"/>
        <v>0</v>
      </c>
      <c r="V215" s="45">
        <f t="shared" si="48"/>
        <v>0</v>
      </c>
      <c r="W215" s="45">
        <f t="shared" si="48"/>
        <v>0</v>
      </c>
      <c r="X215" s="45">
        <f t="shared" si="48"/>
        <v>0</v>
      </c>
      <c r="Y215" s="45">
        <f t="shared" si="48"/>
        <v>0</v>
      </c>
      <c r="Z215" s="45">
        <f t="shared" si="48"/>
        <v>0</v>
      </c>
      <c r="AA215" s="45">
        <f t="shared" si="48"/>
        <v>0</v>
      </c>
      <c r="AB215" s="45">
        <f t="shared" si="48"/>
        <v>0</v>
      </c>
      <c r="AC215" s="45">
        <f t="shared" si="48"/>
        <v>0</v>
      </c>
      <c r="AD215" s="45">
        <f t="shared" si="48"/>
        <v>0</v>
      </c>
      <c r="AE215" s="45">
        <f t="shared" si="48"/>
        <v>0</v>
      </c>
      <c r="AF215" s="45">
        <f t="shared" si="48"/>
        <v>0</v>
      </c>
      <c r="AG215" s="45">
        <f t="shared" si="48"/>
        <v>0</v>
      </c>
      <c r="AH215" s="45">
        <f t="shared" si="48"/>
        <v>0</v>
      </c>
      <c r="AI215" s="45">
        <f t="shared" si="48"/>
        <v>0</v>
      </c>
      <c r="AJ215" s="45">
        <f t="shared" si="48"/>
        <v>0</v>
      </c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</row>
    <row r="216" spans="1:53" s="30" customFormat="1" outlineLevel="1" x14ac:dyDescent="0.25">
      <c r="A216"/>
      <c r="B216" s="112" t="s">
        <v>87</v>
      </c>
      <c r="C216" s="217">
        <v>0</v>
      </c>
      <c r="D216" s="217">
        <v>0</v>
      </c>
      <c r="E216" s="217">
        <v>0</v>
      </c>
      <c r="F216" s="217">
        <v>0</v>
      </c>
      <c r="G216" s="217">
        <f t="shared" ref="G216:AJ216" si="49">IF(emissions_cost_gases="co2",0,IF(seq_credit="no",IF(G214*G215&lt;0,0,G214*G215),G214*G215))</f>
        <v>0</v>
      </c>
      <c r="H216" s="217">
        <f t="shared" si="49"/>
        <v>0</v>
      </c>
      <c r="I216" s="217">
        <f t="shared" si="49"/>
        <v>0</v>
      </c>
      <c r="J216" s="217">
        <f t="shared" si="49"/>
        <v>0</v>
      </c>
      <c r="K216" s="217">
        <f t="shared" si="49"/>
        <v>0</v>
      </c>
      <c r="L216" s="217">
        <f t="shared" si="49"/>
        <v>0</v>
      </c>
      <c r="M216" s="217">
        <f t="shared" si="49"/>
        <v>0</v>
      </c>
      <c r="N216" s="217">
        <f t="shared" si="49"/>
        <v>0</v>
      </c>
      <c r="O216" s="217">
        <f t="shared" si="49"/>
        <v>0</v>
      </c>
      <c r="P216" s="217">
        <f t="shared" si="49"/>
        <v>0</v>
      </c>
      <c r="Q216" s="217">
        <f t="shared" si="49"/>
        <v>0</v>
      </c>
      <c r="R216" s="217">
        <f t="shared" si="49"/>
        <v>0</v>
      </c>
      <c r="S216" s="217">
        <f t="shared" si="49"/>
        <v>0</v>
      </c>
      <c r="T216" s="217">
        <f t="shared" si="49"/>
        <v>0</v>
      </c>
      <c r="U216" s="217">
        <f t="shared" si="49"/>
        <v>0</v>
      </c>
      <c r="V216" s="217">
        <f t="shared" si="49"/>
        <v>0</v>
      </c>
      <c r="W216" s="217">
        <f t="shared" si="49"/>
        <v>0</v>
      </c>
      <c r="X216" s="217">
        <f t="shared" si="49"/>
        <v>0</v>
      </c>
      <c r="Y216" s="217">
        <f t="shared" si="49"/>
        <v>0</v>
      </c>
      <c r="Z216" s="217">
        <f t="shared" si="49"/>
        <v>0</v>
      </c>
      <c r="AA216" s="217">
        <f t="shared" si="49"/>
        <v>0</v>
      </c>
      <c r="AB216" s="217">
        <f t="shared" si="49"/>
        <v>0</v>
      </c>
      <c r="AC216" s="217">
        <f t="shared" si="49"/>
        <v>0</v>
      </c>
      <c r="AD216" s="217">
        <f t="shared" si="49"/>
        <v>0</v>
      </c>
      <c r="AE216" s="217">
        <f t="shared" si="49"/>
        <v>0</v>
      </c>
      <c r="AF216" s="217">
        <f t="shared" si="49"/>
        <v>0</v>
      </c>
      <c r="AG216" s="217">
        <f t="shared" si="49"/>
        <v>0</v>
      </c>
      <c r="AH216" s="217">
        <f t="shared" si="49"/>
        <v>0</v>
      </c>
      <c r="AI216" s="217">
        <f t="shared" si="49"/>
        <v>0</v>
      </c>
      <c r="AJ216" s="217">
        <f t="shared" si="49"/>
        <v>0</v>
      </c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</row>
    <row r="217" spans="1:53" s="30" customFormat="1" outlineLevel="1" x14ac:dyDescent="0.25">
      <c r="A217"/>
      <c r="B217" s="163" t="s">
        <v>92</v>
      </c>
      <c r="C217" s="215"/>
      <c r="D217" s="215"/>
      <c r="E217" s="215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  <c r="Q217" s="164"/>
      <c r="R217" s="164"/>
      <c r="S217" s="164"/>
      <c r="T217" s="164"/>
      <c r="U217" s="164"/>
      <c r="V217" s="164"/>
      <c r="W217" s="164"/>
      <c r="X217" s="164"/>
      <c r="Y217" s="164"/>
      <c r="Z217" s="164"/>
      <c r="AA217" s="164"/>
      <c r="AB217" s="164"/>
      <c r="AC217" s="164"/>
      <c r="AD217" s="164"/>
      <c r="AE217" s="164"/>
      <c r="AF217" s="164"/>
      <c r="AG217" s="164"/>
      <c r="AH217" s="164"/>
      <c r="AI217" s="164"/>
      <c r="AJ217" s="164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</row>
    <row r="218" spans="1:53" s="30" customFormat="1" outlineLevel="1" x14ac:dyDescent="0.25">
      <c r="A218"/>
      <c r="B218" s="18" t="s">
        <v>93</v>
      </c>
      <c r="C218" s="131">
        <f t="shared" ref="C218:AJ218" si="50">SUM(C170:C177)</f>
        <v>2.8542999999999996E-8</v>
      </c>
      <c r="D218" s="131">
        <f t="shared" si="50"/>
        <v>2.8542999999999996E-8</v>
      </c>
      <c r="E218" s="131">
        <f t="shared" si="50"/>
        <v>2.9939124999999998E-8</v>
      </c>
      <c r="F218" s="131">
        <f t="shared" si="50"/>
        <v>2.4733530287980946E-7</v>
      </c>
      <c r="G218" s="131">
        <f t="shared" si="50"/>
        <v>2.4733530287980946E-7</v>
      </c>
      <c r="H218" s="131">
        <f t="shared" si="50"/>
        <v>2.4733530287980946E-7</v>
      </c>
      <c r="I218" s="131">
        <f t="shared" si="50"/>
        <v>2.4733530287980946E-7</v>
      </c>
      <c r="J218" s="131">
        <f t="shared" si="50"/>
        <v>2.4733530287980946E-7</v>
      </c>
      <c r="K218" s="131">
        <f t="shared" si="50"/>
        <v>2.4733530287980946E-7</v>
      </c>
      <c r="L218" s="131">
        <f t="shared" si="50"/>
        <v>2.4733530287980946E-7</v>
      </c>
      <c r="M218" s="131">
        <f t="shared" si="50"/>
        <v>2.4733530287980946E-7</v>
      </c>
      <c r="N218" s="131">
        <f t="shared" si="50"/>
        <v>2.4733530287980946E-7</v>
      </c>
      <c r="O218" s="131">
        <f t="shared" si="50"/>
        <v>2.4733530287980946E-7</v>
      </c>
      <c r="P218" s="131">
        <f t="shared" si="50"/>
        <v>2.4733530287980946E-7</v>
      </c>
      <c r="Q218" s="131">
        <f t="shared" si="50"/>
        <v>2.4733530287980946E-7</v>
      </c>
      <c r="R218" s="131">
        <f t="shared" si="50"/>
        <v>2.4733530287980946E-7</v>
      </c>
      <c r="S218" s="131">
        <f t="shared" si="50"/>
        <v>2.4733530287980946E-7</v>
      </c>
      <c r="T218" s="131">
        <f t="shared" si="50"/>
        <v>2.4733530287980946E-7</v>
      </c>
      <c r="U218" s="131">
        <f t="shared" si="50"/>
        <v>2.4733530287980946E-7</v>
      </c>
      <c r="V218" s="131">
        <f t="shared" si="50"/>
        <v>2.4733530287980946E-7</v>
      </c>
      <c r="W218" s="131">
        <f t="shared" si="50"/>
        <v>2.4733530287980946E-7</v>
      </c>
      <c r="X218" s="131">
        <f t="shared" si="50"/>
        <v>2.4733530287980946E-7</v>
      </c>
      <c r="Y218" s="131">
        <f t="shared" si="50"/>
        <v>2.4733530287980946E-7</v>
      </c>
      <c r="Z218" s="131">
        <f t="shared" si="50"/>
        <v>2.4733530287980946E-7</v>
      </c>
      <c r="AA218" s="131">
        <f t="shared" si="50"/>
        <v>2.4733530287980946E-7</v>
      </c>
      <c r="AB218" s="131">
        <f t="shared" si="50"/>
        <v>2.4733530287980946E-7</v>
      </c>
      <c r="AC218" s="131">
        <f t="shared" si="50"/>
        <v>2.4733530287980946E-7</v>
      </c>
      <c r="AD218" s="131">
        <f t="shared" si="50"/>
        <v>2.4733530287980946E-7</v>
      </c>
      <c r="AE218" s="131">
        <f t="shared" si="50"/>
        <v>2.4733530287980946E-7</v>
      </c>
      <c r="AF218" s="131">
        <f t="shared" si="50"/>
        <v>2.4733530287980946E-7</v>
      </c>
      <c r="AG218" s="131">
        <f t="shared" si="50"/>
        <v>2.4733530287980946E-7</v>
      </c>
      <c r="AH218" s="131">
        <f t="shared" si="50"/>
        <v>2.4733530287980946E-7</v>
      </c>
      <c r="AI218" s="131">
        <f t="shared" si="50"/>
        <v>2.4733530287980946E-7</v>
      </c>
      <c r="AJ218" s="131">
        <f t="shared" si="50"/>
        <v>2.4873142787980949E-7</v>
      </c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</row>
    <row r="219" spans="1:53" s="30" customFormat="1" outlineLevel="1" x14ac:dyDescent="0.25">
      <c r="A219"/>
      <c r="B219" s="18" t="s">
        <v>94</v>
      </c>
      <c r="C219" s="45">
        <f t="shared" ref="C219:AJ219" si="51">VLOOKUP(ghg_costs,$B$199:$AJ$207,C150-$C$150+2,0)</f>
        <v>0</v>
      </c>
      <c r="D219" s="45">
        <f t="shared" si="51"/>
        <v>0</v>
      </c>
      <c r="E219" s="45">
        <f t="shared" si="51"/>
        <v>0</v>
      </c>
      <c r="F219" s="45">
        <f t="shared" si="51"/>
        <v>0</v>
      </c>
      <c r="G219" s="45">
        <f t="shared" si="51"/>
        <v>0</v>
      </c>
      <c r="H219" s="45">
        <f t="shared" si="51"/>
        <v>0</v>
      </c>
      <c r="I219" s="45">
        <f t="shared" si="51"/>
        <v>0</v>
      </c>
      <c r="J219" s="45">
        <f t="shared" si="51"/>
        <v>0</v>
      </c>
      <c r="K219" s="45">
        <f t="shared" si="51"/>
        <v>0</v>
      </c>
      <c r="L219" s="45">
        <f t="shared" si="51"/>
        <v>0</v>
      </c>
      <c r="M219" s="45">
        <f t="shared" si="51"/>
        <v>0</v>
      </c>
      <c r="N219" s="45">
        <f t="shared" si="51"/>
        <v>0</v>
      </c>
      <c r="O219" s="45">
        <f t="shared" si="51"/>
        <v>0</v>
      </c>
      <c r="P219" s="45">
        <f t="shared" si="51"/>
        <v>0</v>
      </c>
      <c r="Q219" s="45">
        <f t="shared" si="51"/>
        <v>0</v>
      </c>
      <c r="R219" s="45">
        <f t="shared" si="51"/>
        <v>0</v>
      </c>
      <c r="S219" s="45">
        <f t="shared" si="51"/>
        <v>0</v>
      </c>
      <c r="T219" s="45">
        <f t="shared" si="51"/>
        <v>0</v>
      </c>
      <c r="U219" s="45">
        <f t="shared" si="51"/>
        <v>0</v>
      </c>
      <c r="V219" s="45">
        <f t="shared" si="51"/>
        <v>0</v>
      </c>
      <c r="W219" s="45">
        <f t="shared" si="51"/>
        <v>0</v>
      </c>
      <c r="X219" s="45">
        <f t="shared" si="51"/>
        <v>0</v>
      </c>
      <c r="Y219" s="45">
        <f t="shared" si="51"/>
        <v>0</v>
      </c>
      <c r="Z219" s="45">
        <f t="shared" si="51"/>
        <v>0</v>
      </c>
      <c r="AA219" s="45">
        <f t="shared" si="51"/>
        <v>0</v>
      </c>
      <c r="AB219" s="45">
        <f t="shared" si="51"/>
        <v>0</v>
      </c>
      <c r="AC219" s="45">
        <f t="shared" si="51"/>
        <v>0</v>
      </c>
      <c r="AD219" s="45">
        <f t="shared" si="51"/>
        <v>0</v>
      </c>
      <c r="AE219" s="45">
        <f t="shared" si="51"/>
        <v>0</v>
      </c>
      <c r="AF219" s="45">
        <f t="shared" si="51"/>
        <v>0</v>
      </c>
      <c r="AG219" s="45">
        <f t="shared" si="51"/>
        <v>0</v>
      </c>
      <c r="AH219" s="45">
        <f t="shared" si="51"/>
        <v>0</v>
      </c>
      <c r="AI219" s="45">
        <f t="shared" si="51"/>
        <v>0</v>
      </c>
      <c r="AJ219" s="45">
        <f t="shared" si="51"/>
        <v>0</v>
      </c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</row>
    <row r="220" spans="1:53" s="30" customFormat="1" outlineLevel="1" x14ac:dyDescent="0.25">
      <c r="A220"/>
      <c r="B220" s="112" t="s">
        <v>95</v>
      </c>
      <c r="C220" s="217">
        <v>0</v>
      </c>
      <c r="D220" s="217">
        <v>0</v>
      </c>
      <c r="E220" s="217">
        <v>0</v>
      </c>
      <c r="F220" s="217">
        <v>0</v>
      </c>
      <c r="G220" s="217">
        <f t="shared" ref="G220:AJ220" si="52">IF(emissions_cost_gases="co2",0,IF(seq_credit="no",IF(G218*G219&lt;0,0,G218*G219),G218*G219))</f>
        <v>0</v>
      </c>
      <c r="H220" s="217">
        <f t="shared" si="52"/>
        <v>0</v>
      </c>
      <c r="I220" s="217">
        <f t="shared" si="52"/>
        <v>0</v>
      </c>
      <c r="J220" s="217">
        <f t="shared" si="52"/>
        <v>0</v>
      </c>
      <c r="K220" s="217">
        <f t="shared" si="52"/>
        <v>0</v>
      </c>
      <c r="L220" s="217">
        <f t="shared" si="52"/>
        <v>0</v>
      </c>
      <c r="M220" s="217">
        <f t="shared" si="52"/>
        <v>0</v>
      </c>
      <c r="N220" s="217">
        <f t="shared" si="52"/>
        <v>0</v>
      </c>
      <c r="O220" s="217">
        <f t="shared" si="52"/>
        <v>0</v>
      </c>
      <c r="P220" s="217">
        <f t="shared" si="52"/>
        <v>0</v>
      </c>
      <c r="Q220" s="217">
        <f t="shared" si="52"/>
        <v>0</v>
      </c>
      <c r="R220" s="217">
        <f t="shared" si="52"/>
        <v>0</v>
      </c>
      <c r="S220" s="217">
        <f t="shared" si="52"/>
        <v>0</v>
      </c>
      <c r="T220" s="217">
        <f t="shared" si="52"/>
        <v>0</v>
      </c>
      <c r="U220" s="217">
        <f t="shared" si="52"/>
        <v>0</v>
      </c>
      <c r="V220" s="217">
        <f t="shared" si="52"/>
        <v>0</v>
      </c>
      <c r="W220" s="217">
        <f t="shared" si="52"/>
        <v>0</v>
      </c>
      <c r="X220" s="217">
        <f t="shared" si="52"/>
        <v>0</v>
      </c>
      <c r="Y220" s="217">
        <f t="shared" si="52"/>
        <v>0</v>
      </c>
      <c r="Z220" s="217">
        <f t="shared" si="52"/>
        <v>0</v>
      </c>
      <c r="AA220" s="217">
        <f t="shared" si="52"/>
        <v>0</v>
      </c>
      <c r="AB220" s="217">
        <f t="shared" si="52"/>
        <v>0</v>
      </c>
      <c r="AC220" s="217">
        <f t="shared" si="52"/>
        <v>0</v>
      </c>
      <c r="AD220" s="217">
        <f t="shared" si="52"/>
        <v>0</v>
      </c>
      <c r="AE220" s="217">
        <f t="shared" si="52"/>
        <v>0</v>
      </c>
      <c r="AF220" s="217">
        <f t="shared" si="52"/>
        <v>0</v>
      </c>
      <c r="AG220" s="217">
        <f t="shared" si="52"/>
        <v>0</v>
      </c>
      <c r="AH220" s="217">
        <f t="shared" si="52"/>
        <v>0</v>
      </c>
      <c r="AI220" s="217">
        <f t="shared" si="52"/>
        <v>0</v>
      </c>
      <c r="AJ220" s="217">
        <f t="shared" si="52"/>
        <v>0</v>
      </c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</row>
    <row r="221" spans="1:53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</row>
    <row r="222" spans="1:53" s="30" customFormat="1" x14ac:dyDescent="0.25">
      <c r="A222" s="28"/>
      <c r="B222" s="29" t="s">
        <v>68</v>
      </c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</row>
    <row r="223" spans="1:53" s="30" customFormat="1" x14ac:dyDescent="0.25">
      <c r="B223" s="108"/>
    </row>
    <row r="224" spans="1:53" outlineLevel="1" x14ac:dyDescent="0.25">
      <c r="B224" s="49" t="s">
        <v>97</v>
      </c>
      <c r="C224" s="138">
        <f>IF(SUM(C225:AG225)=0,0,SUM(C225:AG225))</f>
        <v>0</v>
      </c>
      <c r="D224" s="15"/>
      <c r="E224" s="15"/>
    </row>
    <row r="225" spans="1:53" outlineLevel="1" x14ac:dyDescent="0.25">
      <c r="B225" s="49" t="s">
        <v>64</v>
      </c>
      <c r="C225" s="48">
        <f t="shared" ref="C225:AG225" si="53">IF(F238&gt;0,F231,0)</f>
        <v>0</v>
      </c>
      <c r="D225" s="48">
        <f t="shared" si="53"/>
        <v>0</v>
      </c>
      <c r="E225" s="48">
        <f t="shared" si="53"/>
        <v>0</v>
      </c>
      <c r="F225" s="48">
        <f t="shared" si="53"/>
        <v>0</v>
      </c>
      <c r="G225" s="48">
        <f t="shared" si="53"/>
        <v>0</v>
      </c>
      <c r="H225" s="48">
        <f t="shared" si="53"/>
        <v>0</v>
      </c>
      <c r="I225" s="48">
        <f t="shared" si="53"/>
        <v>0</v>
      </c>
      <c r="J225" s="48">
        <f t="shared" si="53"/>
        <v>0</v>
      </c>
      <c r="K225" s="48">
        <f t="shared" si="53"/>
        <v>0</v>
      </c>
      <c r="L225" s="48">
        <f t="shared" si="53"/>
        <v>0</v>
      </c>
      <c r="M225" s="48">
        <f t="shared" si="53"/>
        <v>0</v>
      </c>
      <c r="N225" s="48">
        <f t="shared" si="53"/>
        <v>0</v>
      </c>
      <c r="O225" s="48">
        <f t="shared" si="53"/>
        <v>0</v>
      </c>
      <c r="P225" s="48">
        <f t="shared" si="53"/>
        <v>0</v>
      </c>
      <c r="Q225" s="48">
        <f t="shared" si="53"/>
        <v>0</v>
      </c>
      <c r="R225" s="48">
        <f t="shared" si="53"/>
        <v>0</v>
      </c>
      <c r="S225" s="48">
        <f t="shared" si="53"/>
        <v>0</v>
      </c>
      <c r="T225" s="48">
        <f t="shared" si="53"/>
        <v>0</v>
      </c>
      <c r="U225" s="48">
        <f t="shared" si="53"/>
        <v>0</v>
      </c>
      <c r="V225" s="48">
        <f t="shared" si="53"/>
        <v>0</v>
      </c>
      <c r="W225" s="48">
        <f t="shared" si="53"/>
        <v>0</v>
      </c>
      <c r="X225" s="48">
        <f t="shared" si="53"/>
        <v>0</v>
      </c>
      <c r="Y225" s="48">
        <f t="shared" si="53"/>
        <v>0</v>
      </c>
      <c r="Z225" s="48">
        <f t="shared" si="53"/>
        <v>0</v>
      </c>
      <c r="AA225" s="48">
        <f t="shared" si="53"/>
        <v>0</v>
      </c>
      <c r="AB225" s="48">
        <f t="shared" si="53"/>
        <v>0</v>
      </c>
      <c r="AC225" s="48">
        <f t="shared" si="53"/>
        <v>0</v>
      </c>
      <c r="AD225" s="48">
        <f t="shared" si="53"/>
        <v>0</v>
      </c>
      <c r="AE225" s="48">
        <f t="shared" si="53"/>
        <v>0</v>
      </c>
      <c r="AF225" s="48">
        <f t="shared" si="53"/>
        <v>0</v>
      </c>
      <c r="AG225" s="48">
        <f t="shared" si="53"/>
        <v>0</v>
      </c>
    </row>
    <row r="226" spans="1:53" outlineLevel="1" x14ac:dyDescent="0.25">
      <c r="B226" s="49" t="s">
        <v>0</v>
      </c>
      <c r="C226" s="48">
        <v>1</v>
      </c>
      <c r="D226" s="48">
        <v>2</v>
      </c>
      <c r="E226" s="48">
        <v>3</v>
      </c>
      <c r="F226" s="48">
        <v>4</v>
      </c>
      <c r="G226" s="48">
        <v>5</v>
      </c>
      <c r="H226" s="48">
        <v>6</v>
      </c>
      <c r="I226" s="48">
        <v>7</v>
      </c>
      <c r="J226" s="48">
        <v>8</v>
      </c>
      <c r="K226" s="48">
        <v>9</v>
      </c>
      <c r="L226" s="48">
        <v>10</v>
      </c>
      <c r="M226" s="48">
        <v>11</v>
      </c>
      <c r="N226" s="48">
        <v>12</v>
      </c>
      <c r="O226" s="48">
        <v>13</v>
      </c>
      <c r="P226" s="48">
        <v>14</v>
      </c>
      <c r="Q226" s="48">
        <v>15</v>
      </c>
      <c r="R226" s="48">
        <v>16</v>
      </c>
      <c r="S226" s="48">
        <v>17</v>
      </c>
      <c r="T226" s="48">
        <v>18</v>
      </c>
      <c r="U226" s="48">
        <v>19</v>
      </c>
      <c r="V226" s="48">
        <v>20</v>
      </c>
      <c r="W226" s="48">
        <v>21</v>
      </c>
      <c r="X226" s="48">
        <v>22</v>
      </c>
      <c r="Y226" s="48">
        <v>23</v>
      </c>
      <c r="Z226" s="48">
        <v>24</v>
      </c>
      <c r="AA226" s="48">
        <v>25</v>
      </c>
      <c r="AB226" s="48">
        <v>26</v>
      </c>
      <c r="AC226" s="48">
        <v>27</v>
      </c>
      <c r="AD226" s="48">
        <v>28</v>
      </c>
      <c r="AE226" s="48">
        <v>29</v>
      </c>
      <c r="AF226" s="48">
        <v>30</v>
      </c>
      <c r="AG226" s="48">
        <v>31</v>
      </c>
    </row>
    <row r="227" spans="1:53" outlineLevel="1" x14ac:dyDescent="0.25">
      <c r="B227" s="49" t="s">
        <v>65</v>
      </c>
      <c r="C227" s="109">
        <v>0.05</v>
      </c>
      <c r="D227" s="109">
        <v>9.5000000000000001E-2</v>
      </c>
      <c r="E227" s="109">
        <v>8.5500000000000007E-2</v>
      </c>
      <c r="F227" s="109">
        <v>7.6999999999999999E-2</v>
      </c>
      <c r="G227" s="109">
        <v>6.93E-2</v>
      </c>
      <c r="H227" s="109">
        <v>6.2300000000000001E-2</v>
      </c>
      <c r="I227" s="109">
        <v>5.8999999999999997E-2</v>
      </c>
      <c r="J227" s="109">
        <v>5.8999999999999997E-2</v>
      </c>
      <c r="K227" s="109">
        <v>5.91E-2</v>
      </c>
      <c r="L227" s="109">
        <v>5.8999999999999997E-2</v>
      </c>
      <c r="M227" s="109">
        <v>5.91E-2</v>
      </c>
      <c r="N227" s="109">
        <v>5.8999999999999997E-2</v>
      </c>
      <c r="O227" s="109">
        <v>5.91E-2</v>
      </c>
      <c r="P227" s="109">
        <v>5.8999999999999997E-2</v>
      </c>
      <c r="Q227" s="109">
        <v>5.91E-2</v>
      </c>
      <c r="R227" s="109">
        <v>2.9499999999999998E-2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</row>
    <row r="229" spans="1:53" x14ac:dyDescent="0.25">
      <c r="A229" s="28"/>
      <c r="B229" s="29" t="s">
        <v>106</v>
      </c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</row>
    <row r="231" spans="1:53" outlineLevel="1" x14ac:dyDescent="0.25">
      <c r="A231" s="30"/>
      <c r="B231" s="86" t="s">
        <v>0</v>
      </c>
      <c r="C231" s="86">
        <v>2017</v>
      </c>
      <c r="D231" s="86">
        <v>2018</v>
      </c>
      <c r="E231" s="86">
        <v>2019</v>
      </c>
      <c r="F231" s="86">
        <v>2020</v>
      </c>
      <c r="G231" s="86">
        <v>2021</v>
      </c>
      <c r="H231" s="86">
        <v>2022</v>
      </c>
      <c r="I231" s="86">
        <v>2023</v>
      </c>
      <c r="J231" s="86">
        <v>2024</v>
      </c>
      <c r="K231" s="86">
        <v>2025</v>
      </c>
      <c r="L231" s="86">
        <v>2026</v>
      </c>
      <c r="M231" s="86">
        <v>2027</v>
      </c>
      <c r="N231" s="86">
        <v>2028</v>
      </c>
      <c r="O231" s="86">
        <v>2029</v>
      </c>
      <c r="P231" s="86">
        <v>2030</v>
      </c>
      <c r="Q231" s="86">
        <v>2031</v>
      </c>
      <c r="R231" s="86">
        <v>2032</v>
      </c>
      <c r="S231" s="86">
        <v>2033</v>
      </c>
      <c r="T231" s="86">
        <v>2034</v>
      </c>
      <c r="U231" s="86">
        <v>2035</v>
      </c>
      <c r="V231" s="86">
        <v>2036</v>
      </c>
      <c r="W231" s="86">
        <v>2037</v>
      </c>
      <c r="X231" s="86">
        <v>2038</v>
      </c>
      <c r="Y231" s="86">
        <v>2039</v>
      </c>
      <c r="Z231" s="86">
        <v>2040</v>
      </c>
      <c r="AA231" s="86">
        <v>2041</v>
      </c>
      <c r="AB231" s="86">
        <v>2042</v>
      </c>
      <c r="AC231" s="86">
        <v>2043</v>
      </c>
      <c r="AD231" s="86">
        <v>2044</v>
      </c>
      <c r="AE231" s="86">
        <v>2045</v>
      </c>
      <c r="AF231" s="86">
        <v>2046</v>
      </c>
      <c r="AG231" s="86">
        <v>2047</v>
      </c>
      <c r="AH231" s="86">
        <v>2048</v>
      </c>
      <c r="AI231" s="86">
        <v>2049</v>
      </c>
      <c r="AJ231" s="86">
        <v>2050</v>
      </c>
      <c r="AK231" s="86">
        <v>2051</v>
      </c>
      <c r="AL231" s="86">
        <v>2052</v>
      </c>
      <c r="AM231" s="86">
        <v>2053</v>
      </c>
      <c r="AN231" s="86">
        <v>2054</v>
      </c>
      <c r="AO231" s="86">
        <v>2055</v>
      </c>
      <c r="AP231" s="86">
        <v>2056</v>
      </c>
      <c r="AQ231" s="86">
        <v>2057</v>
      </c>
      <c r="AR231" s="86">
        <v>2058</v>
      </c>
      <c r="AS231" s="86">
        <v>2059</v>
      </c>
      <c r="AT231" s="86">
        <v>2060</v>
      </c>
      <c r="AU231" s="86">
        <v>2061</v>
      </c>
      <c r="AV231" s="86">
        <v>2062</v>
      </c>
      <c r="AW231" s="86">
        <v>2063</v>
      </c>
    </row>
    <row r="232" spans="1:53" outlineLevel="1" x14ac:dyDescent="0.25">
      <c r="A232" s="30"/>
      <c r="B232" s="86" t="s">
        <v>75</v>
      </c>
      <c r="C232" s="160"/>
      <c r="D232" s="160"/>
      <c r="E232" s="160"/>
      <c r="F232" s="160"/>
      <c r="G232" s="160"/>
      <c r="H232" s="160"/>
      <c r="I232" s="160"/>
      <c r="J232" s="160"/>
      <c r="K232" s="160"/>
      <c r="L232" s="160"/>
      <c r="M232" s="160"/>
      <c r="N232" s="160"/>
      <c r="O232" s="160"/>
      <c r="P232" s="160"/>
      <c r="Q232" s="160"/>
      <c r="R232" s="160"/>
      <c r="S232" s="160"/>
      <c r="T232" s="160"/>
      <c r="U232" s="160"/>
      <c r="V232" s="160"/>
      <c r="W232" s="160"/>
      <c r="X232" s="160"/>
      <c r="Y232" s="160"/>
      <c r="Z232" s="160"/>
      <c r="AA232" s="160"/>
      <c r="AB232" s="160"/>
      <c r="AC232" s="160"/>
      <c r="AD232" s="160"/>
      <c r="AE232" s="160"/>
      <c r="AF232" s="160"/>
      <c r="AG232" s="160"/>
      <c r="AH232" s="160"/>
      <c r="AI232" s="160"/>
      <c r="AJ232" s="160"/>
      <c r="AK232" s="160"/>
      <c r="AL232" s="160"/>
      <c r="AM232" s="160"/>
      <c r="AN232" s="160"/>
      <c r="AO232" s="160"/>
      <c r="AP232" s="160"/>
      <c r="AQ232" s="160"/>
      <c r="AR232" s="160"/>
      <c r="AS232" s="160"/>
      <c r="AT232" s="160"/>
      <c r="AU232" s="160"/>
      <c r="AV232" s="160"/>
      <c r="AW232" s="160"/>
    </row>
    <row r="233" spans="1:53" outlineLevel="1" x14ac:dyDescent="0.25">
      <c r="B233" s="72" t="s">
        <v>57</v>
      </c>
      <c r="C233" s="72">
        <f>C97*(1-$C$84)*$C$93</f>
        <v>328.32000000000005</v>
      </c>
      <c r="D233" s="72">
        <f>C97*(1-$C$84)*$C$94</f>
        <v>41.040000000000006</v>
      </c>
      <c r="E233" s="72">
        <f>C97*(1-$C$84)*$C$95</f>
        <v>41.040000000000006</v>
      </c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</row>
    <row r="234" spans="1:53" outlineLevel="1" x14ac:dyDescent="0.25">
      <c r="B234" s="74" t="s">
        <v>58</v>
      </c>
      <c r="C234" s="74"/>
      <c r="D234" s="74"/>
      <c r="E234" s="74"/>
      <c r="F234" s="75">
        <f t="shared" ref="F234:O234" si="54">$C$100</f>
        <v>74.768667923445747</v>
      </c>
      <c r="G234" s="74">
        <f t="shared" si="54"/>
        <v>74.768667923445747</v>
      </c>
      <c r="H234" s="74">
        <f t="shared" si="54"/>
        <v>74.768667923445747</v>
      </c>
      <c r="I234" s="74">
        <f t="shared" si="54"/>
        <v>74.768667923445747</v>
      </c>
      <c r="J234" s="74">
        <f t="shared" si="54"/>
        <v>74.768667923445747</v>
      </c>
      <c r="K234" s="74">
        <f t="shared" si="54"/>
        <v>74.768667923445747</v>
      </c>
      <c r="L234" s="74">
        <f t="shared" si="54"/>
        <v>74.768667923445747</v>
      </c>
      <c r="M234" s="74">
        <f t="shared" si="54"/>
        <v>74.768667923445747</v>
      </c>
      <c r="N234" s="74">
        <f t="shared" si="54"/>
        <v>74.768667923445747</v>
      </c>
      <c r="O234" s="74">
        <f t="shared" si="54"/>
        <v>74.768667923445747</v>
      </c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</row>
    <row r="235" spans="1:53" outlineLevel="1" x14ac:dyDescent="0.25">
      <c r="B235" s="77" t="s">
        <v>59</v>
      </c>
      <c r="C235" s="77">
        <f>$C$85*C236</f>
        <v>18.22176</v>
      </c>
      <c r="D235" s="78">
        <f>$C$85*D236</f>
        <v>20.499479999999998</v>
      </c>
      <c r="E235" s="77">
        <f>$C$85*E236</f>
        <v>22.777199999999997</v>
      </c>
      <c r="F235" s="77">
        <f>$C$97*$C$84*$C$85</f>
        <v>22.777200000000001</v>
      </c>
      <c r="G235" s="77">
        <f t="shared" ref="G235:O235" si="55">F236*$C$85</f>
        <v>20.853515686832509</v>
      </c>
      <c r="H235" s="77">
        <f t="shared" si="55"/>
        <v>20.782339367245314</v>
      </c>
      <c r="I235" s="77">
        <f t="shared" si="55"/>
        <v>20.779705843420583</v>
      </c>
      <c r="J235" s="77">
        <f t="shared" si="55"/>
        <v>20.77960840303907</v>
      </c>
      <c r="K235" s="77">
        <f t="shared" si="55"/>
        <v>20.779604797744955</v>
      </c>
      <c r="L235" s="77">
        <f t="shared" si="55"/>
        <v>20.779604664349069</v>
      </c>
      <c r="M235" s="77">
        <f t="shared" si="55"/>
        <v>20.779604659413426</v>
      </c>
      <c r="N235" s="77">
        <f t="shared" si="55"/>
        <v>20.779604659230802</v>
      </c>
      <c r="O235" s="77">
        <f t="shared" si="55"/>
        <v>20.779604659224049</v>
      </c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</row>
    <row r="236" spans="1:53" outlineLevel="1" x14ac:dyDescent="0.25">
      <c r="B236" s="79" t="s">
        <v>56</v>
      </c>
      <c r="C236" s="79">
        <f>C97*$C$84*$C$93</f>
        <v>492.48</v>
      </c>
      <c r="D236" s="79">
        <f>C97*$C$84*$C$94+C236</f>
        <v>554.04</v>
      </c>
      <c r="E236" s="79">
        <f>C97*$C$84*$C$95+D236</f>
        <v>615.59999999999991</v>
      </c>
      <c r="F236" s="80">
        <f t="shared" ref="F236:O236" si="56">$C$97*$C$84-F234+F235</f>
        <v>563.6085320765543</v>
      </c>
      <c r="G236" s="80">
        <f t="shared" si="56"/>
        <v>561.68484776338687</v>
      </c>
      <c r="H236" s="80">
        <f t="shared" si="56"/>
        <v>561.6136714437996</v>
      </c>
      <c r="I236" s="80">
        <f t="shared" si="56"/>
        <v>561.61103791997493</v>
      </c>
      <c r="J236" s="80">
        <f t="shared" si="56"/>
        <v>561.61094047959341</v>
      </c>
      <c r="K236" s="80">
        <f t="shared" si="56"/>
        <v>561.61093687429923</v>
      </c>
      <c r="L236" s="80">
        <f t="shared" si="56"/>
        <v>561.61093674090341</v>
      </c>
      <c r="M236" s="80">
        <f t="shared" si="56"/>
        <v>561.6109367359677</v>
      </c>
      <c r="N236" s="80">
        <f t="shared" si="56"/>
        <v>561.61093673578512</v>
      </c>
      <c r="O236" s="80">
        <f t="shared" si="56"/>
        <v>561.6109367357783</v>
      </c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  <c r="AH236" s="80"/>
      <c r="AI236" s="80"/>
      <c r="AJ236" s="80"/>
      <c r="AK236" s="80"/>
      <c r="AL236" s="80"/>
      <c r="AM236" s="80"/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</row>
    <row r="237" spans="1:53" outlineLevel="1" x14ac:dyDescent="0.25">
      <c r="B237" s="157" t="s">
        <v>76</v>
      </c>
      <c r="C237" s="81"/>
      <c r="D237" s="81"/>
      <c r="E237" s="81"/>
      <c r="F237" s="82"/>
      <c r="G237" s="82"/>
      <c r="H237" s="82"/>
      <c r="I237" s="82"/>
      <c r="J237" s="82"/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  <c r="AC237" s="82"/>
      <c r="AD237" s="82"/>
      <c r="AE237" s="82"/>
      <c r="AF237" s="82"/>
      <c r="AG237" s="82"/>
      <c r="AH237" s="82"/>
      <c r="AI237" s="82"/>
      <c r="AJ237" s="82"/>
      <c r="AK237" s="82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2"/>
      <c r="AW237" s="82"/>
    </row>
    <row r="238" spans="1:53" outlineLevel="1" x14ac:dyDescent="0.25">
      <c r="B238" s="72" t="s">
        <v>52</v>
      </c>
      <c r="C238" s="72"/>
      <c r="D238" s="72"/>
      <c r="E238" s="72"/>
      <c r="F238" s="73">
        <f t="shared" ref="F238:AW238" si="57">IF($C$8="Biogas CCS",IF($C$9=F231,(1-$D$84)*$D$97,0),IF($C$8="Normal CCS",IF($C$9=F231,(1-$D$84)*$D$97,0),0))</f>
        <v>0</v>
      </c>
      <c r="G238" s="73">
        <f t="shared" si="57"/>
        <v>0</v>
      </c>
      <c r="H238" s="73">
        <f t="shared" si="57"/>
        <v>0</v>
      </c>
      <c r="I238" s="73">
        <f t="shared" si="57"/>
        <v>0</v>
      </c>
      <c r="J238" s="73">
        <f t="shared" si="57"/>
        <v>0</v>
      </c>
      <c r="K238" s="73">
        <f t="shared" si="57"/>
        <v>0</v>
      </c>
      <c r="L238" s="73">
        <f t="shared" si="57"/>
        <v>0</v>
      </c>
      <c r="M238" s="73">
        <f t="shared" si="57"/>
        <v>0</v>
      </c>
      <c r="N238" s="73">
        <f t="shared" si="57"/>
        <v>0</v>
      </c>
      <c r="O238" s="73">
        <f t="shared" si="57"/>
        <v>0</v>
      </c>
      <c r="P238" s="73">
        <f t="shared" si="57"/>
        <v>0</v>
      </c>
      <c r="Q238" s="73">
        <f t="shared" si="57"/>
        <v>0</v>
      </c>
      <c r="R238" s="73">
        <f t="shared" si="57"/>
        <v>0</v>
      </c>
      <c r="S238" s="73">
        <f t="shared" si="57"/>
        <v>0</v>
      </c>
      <c r="T238" s="73">
        <f t="shared" si="57"/>
        <v>0</v>
      </c>
      <c r="U238" s="73">
        <f t="shared" si="57"/>
        <v>0</v>
      </c>
      <c r="V238" s="73">
        <f t="shared" si="57"/>
        <v>0</v>
      </c>
      <c r="W238" s="73">
        <f t="shared" si="57"/>
        <v>0</v>
      </c>
      <c r="X238" s="73">
        <f t="shared" si="57"/>
        <v>0</v>
      </c>
      <c r="Y238" s="73">
        <f t="shared" si="57"/>
        <v>0</v>
      </c>
      <c r="Z238" s="73">
        <f t="shared" si="57"/>
        <v>0</v>
      </c>
      <c r="AA238" s="73">
        <f t="shared" si="57"/>
        <v>0</v>
      </c>
      <c r="AB238" s="73">
        <f t="shared" si="57"/>
        <v>0</v>
      </c>
      <c r="AC238" s="73">
        <f t="shared" si="57"/>
        <v>0</v>
      </c>
      <c r="AD238" s="73">
        <f t="shared" si="57"/>
        <v>0</v>
      </c>
      <c r="AE238" s="73">
        <f t="shared" si="57"/>
        <v>0</v>
      </c>
      <c r="AF238" s="73">
        <f t="shared" si="57"/>
        <v>0</v>
      </c>
      <c r="AG238" s="73">
        <f t="shared" si="57"/>
        <v>0</v>
      </c>
      <c r="AH238" s="73">
        <f t="shared" si="57"/>
        <v>0</v>
      </c>
      <c r="AI238" s="73">
        <f t="shared" si="57"/>
        <v>0</v>
      </c>
      <c r="AJ238" s="73">
        <f t="shared" si="57"/>
        <v>0</v>
      </c>
      <c r="AK238" s="73">
        <f t="shared" si="57"/>
        <v>0</v>
      </c>
      <c r="AL238" s="73">
        <f t="shared" si="57"/>
        <v>0</v>
      </c>
      <c r="AM238" s="73">
        <f t="shared" si="57"/>
        <v>0</v>
      </c>
      <c r="AN238" s="73">
        <f t="shared" si="57"/>
        <v>0</v>
      </c>
      <c r="AO238" s="73">
        <f t="shared" si="57"/>
        <v>0</v>
      </c>
      <c r="AP238" s="73">
        <f t="shared" si="57"/>
        <v>0</v>
      </c>
      <c r="AQ238" s="73">
        <f t="shared" si="57"/>
        <v>0</v>
      </c>
      <c r="AR238" s="73">
        <f t="shared" si="57"/>
        <v>0</v>
      </c>
      <c r="AS238" s="73">
        <f t="shared" si="57"/>
        <v>0</v>
      </c>
      <c r="AT238" s="73">
        <f t="shared" si="57"/>
        <v>0</v>
      </c>
      <c r="AU238" s="73">
        <f t="shared" si="57"/>
        <v>0</v>
      </c>
      <c r="AV238" s="73">
        <f t="shared" si="57"/>
        <v>0</v>
      </c>
      <c r="AW238" s="73">
        <f t="shared" si="57"/>
        <v>0</v>
      </c>
    </row>
    <row r="239" spans="1:53" outlineLevel="1" x14ac:dyDescent="0.25">
      <c r="B239" s="74" t="s">
        <v>53</v>
      </c>
      <c r="C239" s="74"/>
      <c r="D239" s="74"/>
      <c r="E239" s="74"/>
      <c r="F239" s="75">
        <f t="shared" ref="F239:AW239" si="58">IF($C$8="biogas CCS",IF(F231&gt;$C$9,IF(F231&lt;$C$9+$D$88+1,$D$100,0),0),IF($C$8="Normal CCS",IF(F231&gt;$C$9,IF(F231&lt;$C$9+$D$88+1,$D$100,0),0),0))</f>
        <v>0</v>
      </c>
      <c r="G239" s="75">
        <f t="shared" si="58"/>
        <v>0</v>
      </c>
      <c r="H239" s="75">
        <f t="shared" si="58"/>
        <v>0</v>
      </c>
      <c r="I239" s="75">
        <f t="shared" si="58"/>
        <v>0</v>
      </c>
      <c r="J239" s="75">
        <f t="shared" si="58"/>
        <v>0</v>
      </c>
      <c r="K239" s="75">
        <f t="shared" si="58"/>
        <v>0</v>
      </c>
      <c r="L239" s="75">
        <f t="shared" si="58"/>
        <v>0</v>
      </c>
      <c r="M239" s="75">
        <f t="shared" si="58"/>
        <v>0</v>
      </c>
      <c r="N239" s="75">
        <f t="shared" si="58"/>
        <v>0</v>
      </c>
      <c r="O239" s="75">
        <f t="shared" si="58"/>
        <v>0</v>
      </c>
      <c r="P239" s="75">
        <f t="shared" si="58"/>
        <v>0</v>
      </c>
      <c r="Q239" s="75">
        <f t="shared" si="58"/>
        <v>0</v>
      </c>
      <c r="R239" s="75">
        <f t="shared" si="58"/>
        <v>0</v>
      </c>
      <c r="S239" s="75">
        <f t="shared" si="58"/>
        <v>0</v>
      </c>
      <c r="T239" s="75">
        <f t="shared" si="58"/>
        <v>0</v>
      </c>
      <c r="U239" s="75">
        <f t="shared" si="58"/>
        <v>0</v>
      </c>
      <c r="V239" s="75">
        <f t="shared" si="58"/>
        <v>0</v>
      </c>
      <c r="W239" s="75">
        <f t="shared" si="58"/>
        <v>0</v>
      </c>
      <c r="X239" s="75">
        <f t="shared" si="58"/>
        <v>0</v>
      </c>
      <c r="Y239" s="75">
        <f t="shared" si="58"/>
        <v>0</v>
      </c>
      <c r="Z239" s="75">
        <f t="shared" si="58"/>
        <v>0</v>
      </c>
      <c r="AA239" s="75">
        <f t="shared" si="58"/>
        <v>0</v>
      </c>
      <c r="AB239" s="75">
        <f t="shared" si="58"/>
        <v>0</v>
      </c>
      <c r="AC239" s="75">
        <f t="shared" si="58"/>
        <v>0</v>
      </c>
      <c r="AD239" s="75">
        <f t="shared" si="58"/>
        <v>0</v>
      </c>
      <c r="AE239" s="75">
        <f t="shared" si="58"/>
        <v>0</v>
      </c>
      <c r="AF239" s="75">
        <f t="shared" si="58"/>
        <v>0</v>
      </c>
      <c r="AG239" s="75">
        <f t="shared" si="58"/>
        <v>0</v>
      </c>
      <c r="AH239" s="75">
        <f t="shared" si="58"/>
        <v>0</v>
      </c>
      <c r="AI239" s="75">
        <f t="shared" si="58"/>
        <v>0</v>
      </c>
      <c r="AJ239" s="75">
        <f t="shared" si="58"/>
        <v>0</v>
      </c>
      <c r="AK239" s="75">
        <f t="shared" si="58"/>
        <v>0</v>
      </c>
      <c r="AL239" s="75">
        <f t="shared" si="58"/>
        <v>0</v>
      </c>
      <c r="AM239" s="75">
        <f t="shared" si="58"/>
        <v>0</v>
      </c>
      <c r="AN239" s="75">
        <f t="shared" si="58"/>
        <v>0</v>
      </c>
      <c r="AO239" s="75">
        <f t="shared" si="58"/>
        <v>0</v>
      </c>
      <c r="AP239" s="75">
        <f t="shared" si="58"/>
        <v>0</v>
      </c>
      <c r="AQ239" s="75">
        <f t="shared" si="58"/>
        <v>0</v>
      </c>
      <c r="AR239" s="75">
        <f t="shared" si="58"/>
        <v>0</v>
      </c>
      <c r="AS239" s="75">
        <f t="shared" si="58"/>
        <v>0</v>
      </c>
      <c r="AT239" s="75">
        <f t="shared" si="58"/>
        <v>0</v>
      </c>
      <c r="AU239" s="75">
        <f t="shared" si="58"/>
        <v>0</v>
      </c>
      <c r="AV239" s="75">
        <f t="shared" si="58"/>
        <v>0</v>
      </c>
      <c r="AW239" s="75">
        <f t="shared" si="58"/>
        <v>0</v>
      </c>
    </row>
    <row r="240" spans="1:53" outlineLevel="1" x14ac:dyDescent="0.25">
      <c r="B240" s="77" t="s">
        <v>54</v>
      </c>
      <c r="C240" s="77"/>
      <c r="D240" s="78"/>
      <c r="E240" s="77"/>
      <c r="F240" s="77">
        <f t="shared" ref="F240:AW240" si="59">IF(F231=$C$9,F241*$D$85,IF(F239=0,0,E241*$D$85))</f>
        <v>0</v>
      </c>
      <c r="G240" s="77">
        <f t="shared" si="59"/>
        <v>0</v>
      </c>
      <c r="H240" s="77">
        <f t="shared" si="59"/>
        <v>0</v>
      </c>
      <c r="I240" s="77">
        <f t="shared" si="59"/>
        <v>0</v>
      </c>
      <c r="J240" s="77">
        <f t="shared" si="59"/>
        <v>0</v>
      </c>
      <c r="K240" s="77">
        <f t="shared" si="59"/>
        <v>0</v>
      </c>
      <c r="L240" s="77">
        <f t="shared" si="59"/>
        <v>0</v>
      </c>
      <c r="M240" s="77">
        <f t="shared" si="59"/>
        <v>0</v>
      </c>
      <c r="N240" s="77">
        <f t="shared" si="59"/>
        <v>0</v>
      </c>
      <c r="O240" s="77">
        <f t="shared" si="59"/>
        <v>0</v>
      </c>
      <c r="P240" s="77">
        <f t="shared" si="59"/>
        <v>0</v>
      </c>
      <c r="Q240" s="77">
        <f t="shared" si="59"/>
        <v>0</v>
      </c>
      <c r="R240" s="77">
        <f t="shared" si="59"/>
        <v>0</v>
      </c>
      <c r="S240" s="77">
        <f t="shared" si="59"/>
        <v>0</v>
      </c>
      <c r="T240" s="77">
        <f t="shared" si="59"/>
        <v>0</v>
      </c>
      <c r="U240" s="77">
        <f t="shared" si="59"/>
        <v>0</v>
      </c>
      <c r="V240" s="77">
        <f t="shared" si="59"/>
        <v>0</v>
      </c>
      <c r="W240" s="77">
        <f t="shared" si="59"/>
        <v>0</v>
      </c>
      <c r="X240" s="77">
        <f t="shared" si="59"/>
        <v>0</v>
      </c>
      <c r="Y240" s="77">
        <f t="shared" si="59"/>
        <v>0</v>
      </c>
      <c r="Z240" s="77">
        <f t="shared" si="59"/>
        <v>0</v>
      </c>
      <c r="AA240" s="77">
        <f t="shared" si="59"/>
        <v>0</v>
      </c>
      <c r="AB240" s="77">
        <f t="shared" si="59"/>
        <v>0</v>
      </c>
      <c r="AC240" s="77">
        <f t="shared" si="59"/>
        <v>0</v>
      </c>
      <c r="AD240" s="77">
        <f t="shared" si="59"/>
        <v>0</v>
      </c>
      <c r="AE240" s="77">
        <f t="shared" si="59"/>
        <v>0</v>
      </c>
      <c r="AF240" s="77">
        <f t="shared" si="59"/>
        <v>0</v>
      </c>
      <c r="AG240" s="77">
        <f t="shared" si="59"/>
        <v>0</v>
      </c>
      <c r="AH240" s="77">
        <f t="shared" si="59"/>
        <v>0</v>
      </c>
      <c r="AI240" s="77">
        <f t="shared" si="59"/>
        <v>0</v>
      </c>
      <c r="AJ240" s="77">
        <f t="shared" si="59"/>
        <v>0</v>
      </c>
      <c r="AK240" s="77">
        <f t="shared" si="59"/>
        <v>0</v>
      </c>
      <c r="AL240" s="77">
        <f t="shared" si="59"/>
        <v>0</v>
      </c>
      <c r="AM240" s="77">
        <f t="shared" si="59"/>
        <v>0</v>
      </c>
      <c r="AN240" s="77">
        <f t="shared" si="59"/>
        <v>0</v>
      </c>
      <c r="AO240" s="77">
        <f t="shared" si="59"/>
        <v>0</v>
      </c>
      <c r="AP240" s="77">
        <f t="shared" si="59"/>
        <v>0</v>
      </c>
      <c r="AQ240" s="77">
        <f t="shared" si="59"/>
        <v>0</v>
      </c>
      <c r="AR240" s="77">
        <f t="shared" si="59"/>
        <v>0</v>
      </c>
      <c r="AS240" s="77">
        <f t="shared" si="59"/>
        <v>0</v>
      </c>
      <c r="AT240" s="77">
        <f t="shared" si="59"/>
        <v>0</v>
      </c>
      <c r="AU240" s="77">
        <f t="shared" si="59"/>
        <v>0</v>
      </c>
      <c r="AV240" s="77">
        <f t="shared" si="59"/>
        <v>0</v>
      </c>
      <c r="AW240" s="77">
        <f t="shared" si="59"/>
        <v>0</v>
      </c>
    </row>
    <row r="241" spans="2:49" outlineLevel="1" x14ac:dyDescent="0.25">
      <c r="B241" s="79" t="s">
        <v>55</v>
      </c>
      <c r="C241" s="79"/>
      <c r="D241" s="79"/>
      <c r="E241" s="79"/>
      <c r="F241" s="80">
        <f t="shared" ref="F241:AW241" si="60">IF($C$8="Biogas CCS",IF($C$9=F231,($D$84)*$D$97,IF(F239=0,0,$D$97*$D$84-F239+F240)),0)</f>
        <v>0</v>
      </c>
      <c r="G241" s="80">
        <f t="shared" si="60"/>
        <v>0</v>
      </c>
      <c r="H241" s="80">
        <f t="shared" si="60"/>
        <v>0</v>
      </c>
      <c r="I241" s="80">
        <f t="shared" si="60"/>
        <v>0</v>
      </c>
      <c r="J241" s="80">
        <f t="shared" si="60"/>
        <v>0</v>
      </c>
      <c r="K241" s="80">
        <f t="shared" si="60"/>
        <v>0</v>
      </c>
      <c r="L241" s="80">
        <f t="shared" si="60"/>
        <v>0</v>
      </c>
      <c r="M241" s="80">
        <f t="shared" si="60"/>
        <v>0</v>
      </c>
      <c r="N241" s="80">
        <f t="shared" si="60"/>
        <v>0</v>
      </c>
      <c r="O241" s="80">
        <f t="shared" si="60"/>
        <v>0</v>
      </c>
      <c r="P241" s="80">
        <f t="shared" si="60"/>
        <v>0</v>
      </c>
      <c r="Q241" s="80">
        <f t="shared" si="60"/>
        <v>0</v>
      </c>
      <c r="R241" s="80">
        <f t="shared" si="60"/>
        <v>0</v>
      </c>
      <c r="S241" s="80">
        <f t="shared" si="60"/>
        <v>0</v>
      </c>
      <c r="T241" s="80">
        <f t="shared" si="60"/>
        <v>0</v>
      </c>
      <c r="U241" s="80">
        <f t="shared" si="60"/>
        <v>0</v>
      </c>
      <c r="V241" s="80">
        <f t="shared" si="60"/>
        <v>0</v>
      </c>
      <c r="W241" s="80">
        <f t="shared" si="60"/>
        <v>0</v>
      </c>
      <c r="X241" s="80">
        <f t="shared" si="60"/>
        <v>0</v>
      </c>
      <c r="Y241" s="80">
        <f t="shared" si="60"/>
        <v>0</v>
      </c>
      <c r="Z241" s="80">
        <f t="shared" si="60"/>
        <v>0</v>
      </c>
      <c r="AA241" s="80">
        <f t="shared" si="60"/>
        <v>0</v>
      </c>
      <c r="AB241" s="80">
        <f t="shared" si="60"/>
        <v>0</v>
      </c>
      <c r="AC241" s="80">
        <f t="shared" si="60"/>
        <v>0</v>
      </c>
      <c r="AD241" s="80">
        <f t="shared" si="60"/>
        <v>0</v>
      </c>
      <c r="AE241" s="80">
        <f t="shared" si="60"/>
        <v>0</v>
      </c>
      <c r="AF241" s="80">
        <f t="shared" si="60"/>
        <v>0</v>
      </c>
      <c r="AG241" s="80">
        <f t="shared" si="60"/>
        <v>0</v>
      </c>
      <c r="AH241" s="80">
        <f t="shared" si="60"/>
        <v>0</v>
      </c>
      <c r="AI241" s="80">
        <f t="shared" si="60"/>
        <v>0</v>
      </c>
      <c r="AJ241" s="80">
        <f t="shared" si="60"/>
        <v>0</v>
      </c>
      <c r="AK241" s="80">
        <f t="shared" si="60"/>
        <v>0</v>
      </c>
      <c r="AL241" s="80">
        <f t="shared" si="60"/>
        <v>0</v>
      </c>
      <c r="AM241" s="80">
        <f t="shared" si="60"/>
        <v>0</v>
      </c>
      <c r="AN241" s="80">
        <f t="shared" si="60"/>
        <v>0</v>
      </c>
      <c r="AO241" s="80">
        <f t="shared" si="60"/>
        <v>0</v>
      </c>
      <c r="AP241" s="80">
        <f t="shared" si="60"/>
        <v>0</v>
      </c>
      <c r="AQ241" s="80">
        <f t="shared" si="60"/>
        <v>0</v>
      </c>
      <c r="AR241" s="80">
        <f t="shared" si="60"/>
        <v>0</v>
      </c>
      <c r="AS241" s="80">
        <f t="shared" si="60"/>
        <v>0</v>
      </c>
      <c r="AT241" s="80">
        <f t="shared" si="60"/>
        <v>0</v>
      </c>
      <c r="AU241" s="80">
        <f t="shared" si="60"/>
        <v>0</v>
      </c>
      <c r="AV241" s="80">
        <f t="shared" si="60"/>
        <v>0</v>
      </c>
      <c r="AW241" s="80">
        <f t="shared" si="60"/>
        <v>0</v>
      </c>
    </row>
    <row r="242" spans="2:49" outlineLevel="1" x14ac:dyDescent="0.25">
      <c r="B242" s="267" t="s">
        <v>293</v>
      </c>
      <c r="C242" s="268"/>
      <c r="D242" s="268"/>
      <c r="E242" s="268"/>
      <c r="F242" s="268"/>
      <c r="G242" s="268"/>
      <c r="H242" s="268"/>
      <c r="I242" s="268"/>
      <c r="J242" s="268"/>
      <c r="K242" s="268"/>
      <c r="L242" s="268"/>
      <c r="M242" s="268"/>
      <c r="N242" s="268"/>
      <c r="O242" s="268"/>
      <c r="P242" s="268"/>
      <c r="Q242" s="268"/>
      <c r="R242" s="268"/>
      <c r="S242" s="268"/>
      <c r="T242" s="268"/>
      <c r="U242" s="268"/>
      <c r="V242" s="268"/>
      <c r="W242" s="268"/>
      <c r="X242" s="268"/>
      <c r="Y242" s="268"/>
      <c r="Z242" s="268"/>
      <c r="AA242" s="268"/>
      <c r="AB242" s="268"/>
      <c r="AC242" s="268"/>
      <c r="AD242" s="268"/>
      <c r="AE242" s="268"/>
      <c r="AF242" s="268"/>
      <c r="AG242" s="268"/>
      <c r="AH242" s="268"/>
      <c r="AI242" s="268"/>
      <c r="AJ242" s="268"/>
      <c r="AK242" s="268"/>
      <c r="AL242" s="268"/>
      <c r="AM242" s="268"/>
      <c r="AN242" s="268"/>
      <c r="AO242" s="268"/>
      <c r="AP242" s="268"/>
      <c r="AQ242" s="268"/>
      <c r="AR242" s="268"/>
      <c r="AS242" s="268"/>
      <c r="AT242" s="268"/>
      <c r="AU242" s="268"/>
      <c r="AV242" s="268"/>
      <c r="AW242" s="268"/>
    </row>
    <row r="243" spans="2:49" outlineLevel="1" x14ac:dyDescent="0.25">
      <c r="B243" s="269" t="s">
        <v>292</v>
      </c>
      <c r="C243" s="269"/>
      <c r="D243" s="269"/>
      <c r="E243" s="269"/>
      <c r="F243" s="269">
        <f t="shared" ref="F243:AJ243" si="61">IF(pathway="shutdown",IF(year_of_decision=F231,$C$101,0),IF(F231=2050,$C$101,0))</f>
        <v>0</v>
      </c>
      <c r="G243" s="269">
        <f t="shared" si="61"/>
        <v>0</v>
      </c>
      <c r="H243" s="269">
        <f t="shared" si="61"/>
        <v>0</v>
      </c>
      <c r="I243" s="269">
        <f t="shared" si="61"/>
        <v>0</v>
      </c>
      <c r="J243" s="269">
        <f t="shared" si="61"/>
        <v>0</v>
      </c>
      <c r="K243" s="269">
        <f t="shared" si="61"/>
        <v>0</v>
      </c>
      <c r="L243" s="269">
        <f t="shared" si="61"/>
        <v>0</v>
      </c>
      <c r="M243" s="269">
        <f t="shared" si="61"/>
        <v>0</v>
      </c>
      <c r="N243" s="269">
        <f t="shared" si="61"/>
        <v>0</v>
      </c>
      <c r="O243" s="269">
        <f t="shared" si="61"/>
        <v>0</v>
      </c>
      <c r="P243" s="269">
        <f t="shared" si="61"/>
        <v>0</v>
      </c>
      <c r="Q243" s="269">
        <f t="shared" si="61"/>
        <v>0</v>
      </c>
      <c r="R243" s="269">
        <f t="shared" si="61"/>
        <v>0</v>
      </c>
      <c r="S243" s="269">
        <f t="shared" si="61"/>
        <v>0</v>
      </c>
      <c r="T243" s="269">
        <f t="shared" si="61"/>
        <v>0</v>
      </c>
      <c r="U243" s="269">
        <f t="shared" si="61"/>
        <v>0</v>
      </c>
      <c r="V243" s="269">
        <f t="shared" si="61"/>
        <v>0</v>
      </c>
      <c r="W243" s="269">
        <f t="shared" si="61"/>
        <v>0</v>
      </c>
      <c r="X243" s="269">
        <f t="shared" si="61"/>
        <v>0</v>
      </c>
      <c r="Y243" s="269">
        <f t="shared" si="61"/>
        <v>0</v>
      </c>
      <c r="Z243" s="269">
        <f t="shared" si="61"/>
        <v>0</v>
      </c>
      <c r="AA243" s="269">
        <f t="shared" si="61"/>
        <v>0</v>
      </c>
      <c r="AB243" s="269">
        <f t="shared" si="61"/>
        <v>0</v>
      </c>
      <c r="AC243" s="269">
        <f t="shared" si="61"/>
        <v>0</v>
      </c>
      <c r="AD243" s="269">
        <f t="shared" si="61"/>
        <v>0</v>
      </c>
      <c r="AE243" s="269">
        <f t="shared" si="61"/>
        <v>0</v>
      </c>
      <c r="AF243" s="269">
        <f t="shared" si="61"/>
        <v>0</v>
      </c>
      <c r="AG243" s="269">
        <f t="shared" si="61"/>
        <v>0</v>
      </c>
      <c r="AH243" s="269">
        <f t="shared" si="61"/>
        <v>0</v>
      </c>
      <c r="AI243" s="269">
        <f t="shared" si="61"/>
        <v>0</v>
      </c>
      <c r="AJ243" s="269">
        <f t="shared" si="61"/>
        <v>20</v>
      </c>
      <c r="AK243" s="269"/>
      <c r="AL243" s="269"/>
      <c r="AM243" s="269"/>
      <c r="AN243" s="269"/>
      <c r="AO243" s="269"/>
      <c r="AP243" s="269"/>
      <c r="AQ243" s="269"/>
      <c r="AR243" s="269"/>
      <c r="AS243" s="269"/>
      <c r="AT243" s="269"/>
      <c r="AU243" s="269"/>
      <c r="AV243" s="269"/>
      <c r="AW243" s="269"/>
    </row>
    <row r="244" spans="2:49" outlineLevel="1" x14ac:dyDescent="0.25">
      <c r="B244" s="267" t="s">
        <v>70</v>
      </c>
      <c r="C244" s="268"/>
      <c r="D244" s="268"/>
      <c r="E244" s="268"/>
      <c r="F244" s="268"/>
      <c r="G244" s="268"/>
      <c r="H244" s="268"/>
      <c r="I244" s="268"/>
      <c r="J244" s="268"/>
      <c r="K244" s="268"/>
      <c r="L244" s="268"/>
      <c r="M244" s="268"/>
      <c r="N244" s="268"/>
      <c r="O244" s="268"/>
      <c r="P244" s="268"/>
      <c r="Q244" s="268"/>
      <c r="R244" s="268"/>
      <c r="S244" s="268"/>
      <c r="T244" s="268"/>
      <c r="U244" s="268"/>
      <c r="V244" s="268"/>
      <c r="W244" s="268"/>
      <c r="X244" s="268"/>
      <c r="Y244" s="268"/>
      <c r="Z244" s="268"/>
      <c r="AA244" s="268"/>
      <c r="AB244" s="268"/>
      <c r="AC244" s="268"/>
      <c r="AD244" s="268"/>
      <c r="AE244" s="268"/>
      <c r="AF244" s="268"/>
      <c r="AG244" s="268"/>
      <c r="AH244" s="268"/>
      <c r="AI244" s="268"/>
      <c r="AJ244" s="268"/>
      <c r="AK244" s="268"/>
      <c r="AL244" s="268"/>
      <c r="AM244" s="268"/>
      <c r="AN244" s="268"/>
      <c r="AO244" s="268"/>
      <c r="AP244" s="268"/>
      <c r="AQ244" s="268"/>
      <c r="AR244" s="268"/>
      <c r="AS244" s="268"/>
      <c r="AT244" s="268"/>
      <c r="AU244" s="268"/>
      <c r="AV244" s="268"/>
      <c r="AW244" s="268"/>
    </row>
    <row r="245" spans="2:49" outlineLevel="1" x14ac:dyDescent="0.25">
      <c r="B245" s="70" t="s">
        <v>15</v>
      </c>
      <c r="C245" s="70"/>
      <c r="D245" s="70"/>
      <c r="E245" s="70"/>
      <c r="F245" s="83">
        <f t="shared" ref="F245:AJ245" si="62">C139</f>
        <v>292.28511230399994</v>
      </c>
      <c r="G245" s="83">
        <f t="shared" si="62"/>
        <v>289.96735295999997</v>
      </c>
      <c r="H245" s="83">
        <f t="shared" si="62"/>
        <v>285.76309257599996</v>
      </c>
      <c r="I245" s="83">
        <f t="shared" si="62"/>
        <v>282.03932344799995</v>
      </c>
      <c r="J245" s="83">
        <f t="shared" si="62"/>
        <v>282.55822555199995</v>
      </c>
      <c r="K245" s="83">
        <f t="shared" si="62"/>
        <v>284.92465895999999</v>
      </c>
      <c r="L245" s="83">
        <f t="shared" si="62"/>
        <v>287.01190240799997</v>
      </c>
      <c r="M245" s="83">
        <f t="shared" si="62"/>
        <v>287.72260471199996</v>
      </c>
      <c r="N245" s="83">
        <f t="shared" si="62"/>
        <v>283.80378367199995</v>
      </c>
      <c r="O245" s="83">
        <f t="shared" si="62"/>
        <v>279.49104820799994</v>
      </c>
      <c r="P245" s="83">
        <f t="shared" si="62"/>
        <v>276.288670776</v>
      </c>
      <c r="Q245" s="83">
        <f t="shared" si="62"/>
        <v>271.89362635199996</v>
      </c>
      <c r="R245" s="83">
        <f t="shared" si="62"/>
        <v>267.79336994399995</v>
      </c>
      <c r="S245" s="83">
        <f t="shared" si="62"/>
        <v>267.79895882399995</v>
      </c>
      <c r="T245" s="83">
        <f t="shared" si="62"/>
        <v>266.555839488</v>
      </c>
      <c r="U245" s="83">
        <f t="shared" si="62"/>
        <v>262.43363402399996</v>
      </c>
      <c r="V245" s="83">
        <f t="shared" si="62"/>
        <v>260.23446055199997</v>
      </c>
      <c r="W245" s="83">
        <f t="shared" si="62"/>
        <v>258.08939759999998</v>
      </c>
      <c r="X245" s="83">
        <f t="shared" si="62"/>
        <v>258.51750580799995</v>
      </c>
      <c r="Y245" s="83">
        <f t="shared" si="62"/>
        <v>256.62445053599998</v>
      </c>
      <c r="Z245" s="83">
        <f t="shared" si="62"/>
        <v>253.32299750399997</v>
      </c>
      <c r="AA245" s="83">
        <f t="shared" si="62"/>
        <v>251.74627283999999</v>
      </c>
      <c r="AB245" s="83">
        <f t="shared" si="62"/>
        <v>250.12539602399997</v>
      </c>
      <c r="AC245" s="83">
        <f t="shared" si="62"/>
        <v>248.394875544</v>
      </c>
      <c r="AD245" s="83">
        <f t="shared" si="62"/>
        <v>248.16334348799998</v>
      </c>
      <c r="AE245" s="83">
        <f t="shared" si="62"/>
        <v>247.07971046399996</v>
      </c>
      <c r="AF245" s="83">
        <f t="shared" si="62"/>
        <v>245.86743158399997</v>
      </c>
      <c r="AG245" s="83">
        <f t="shared" si="62"/>
        <v>246.65708951999994</v>
      </c>
      <c r="AH245" s="83">
        <f t="shared" si="62"/>
        <v>246.20134175999996</v>
      </c>
      <c r="AI245" s="83">
        <f t="shared" si="62"/>
        <v>245.41579927199996</v>
      </c>
      <c r="AJ245" s="83">
        <f t="shared" si="62"/>
        <v>245.67395472000001</v>
      </c>
      <c r="AK245" s="83"/>
      <c r="AL245" s="83"/>
      <c r="AM245" s="83"/>
      <c r="AN245" s="83"/>
      <c r="AO245" s="83"/>
      <c r="AP245" s="83"/>
      <c r="AQ245" s="83"/>
      <c r="AR245" s="83"/>
      <c r="AS245" s="83"/>
      <c r="AT245" s="83"/>
      <c r="AU245" s="83"/>
      <c r="AV245" s="83"/>
      <c r="AW245" s="83"/>
    </row>
    <row r="246" spans="2:49" outlineLevel="1" x14ac:dyDescent="0.25">
      <c r="B246" s="84" t="s">
        <v>16</v>
      </c>
      <c r="C246" s="84"/>
      <c r="D246" s="84"/>
      <c r="E246" s="84"/>
      <c r="F246" s="85">
        <f t="shared" ref="F246:AJ246" si="63">C146</f>
        <v>114.99303806127998</v>
      </c>
      <c r="G246" s="85">
        <f t="shared" si="63"/>
        <v>120.61496333043998</v>
      </c>
      <c r="H246" s="85">
        <f t="shared" si="63"/>
        <v>120.42004047075999</v>
      </c>
      <c r="I246" s="85">
        <f t="shared" si="63"/>
        <v>122.79372113187998</v>
      </c>
      <c r="J246" s="85">
        <f t="shared" si="63"/>
        <v>127.83913615431999</v>
      </c>
      <c r="K246" s="85">
        <f t="shared" si="63"/>
        <v>137.19979198323995</v>
      </c>
      <c r="L246" s="85">
        <f t="shared" si="63"/>
        <v>144.27174276891998</v>
      </c>
      <c r="M246" s="85">
        <f t="shared" si="63"/>
        <v>148.72121424675996</v>
      </c>
      <c r="N246" s="85">
        <f t="shared" si="63"/>
        <v>150.92045402319999</v>
      </c>
      <c r="O246" s="85">
        <f t="shared" si="63"/>
        <v>150.55567824123997</v>
      </c>
      <c r="P246" s="85">
        <f t="shared" si="63"/>
        <v>148.16502211923998</v>
      </c>
      <c r="Q246" s="85">
        <f t="shared" si="63"/>
        <v>147.04306868547997</v>
      </c>
      <c r="R246" s="85">
        <f t="shared" si="63"/>
        <v>147.89626583607998</v>
      </c>
      <c r="S246" s="85">
        <f t="shared" si="63"/>
        <v>150.15832792623999</v>
      </c>
      <c r="T246" s="85">
        <f t="shared" si="63"/>
        <v>151.97693067927997</v>
      </c>
      <c r="U246" s="85">
        <f t="shared" si="63"/>
        <v>151.79836062843998</v>
      </c>
      <c r="V246" s="85">
        <f t="shared" si="63"/>
        <v>151.69814642115998</v>
      </c>
      <c r="W246" s="85">
        <f t="shared" si="63"/>
        <v>153.00410991831998</v>
      </c>
      <c r="X246" s="85">
        <f t="shared" si="63"/>
        <v>153.71871783327998</v>
      </c>
      <c r="Y246" s="85">
        <f t="shared" si="63"/>
        <v>153.91613130112</v>
      </c>
      <c r="Z246" s="85">
        <f t="shared" si="63"/>
        <v>154.12370382856</v>
      </c>
      <c r="AA246" s="85">
        <f t="shared" si="63"/>
        <v>153.99075123243998</v>
      </c>
      <c r="AB246" s="85">
        <f t="shared" si="63"/>
        <v>154.30578039351997</v>
      </c>
      <c r="AC246" s="85">
        <f t="shared" si="63"/>
        <v>154.63601537283998</v>
      </c>
      <c r="AD246" s="85">
        <f t="shared" si="63"/>
        <v>155.20085908659999</v>
      </c>
      <c r="AE246" s="85">
        <f t="shared" si="63"/>
        <v>155.64051696915999</v>
      </c>
      <c r="AF246" s="85">
        <f t="shared" si="63"/>
        <v>157.09349189007997</v>
      </c>
      <c r="AG246" s="85">
        <f t="shared" si="63"/>
        <v>158.94214579684001</v>
      </c>
      <c r="AH246" s="85">
        <f t="shared" si="63"/>
        <v>160.16657464791999</v>
      </c>
      <c r="AI246" s="85">
        <f t="shared" si="63"/>
        <v>160.94377547847998</v>
      </c>
      <c r="AJ246" s="85">
        <f t="shared" si="63"/>
        <v>162.86193701559998</v>
      </c>
      <c r="AK246" s="85"/>
      <c r="AL246" s="85"/>
      <c r="AM246" s="85"/>
      <c r="AN246" s="85"/>
      <c r="AO246" s="85"/>
      <c r="AP246" s="85"/>
      <c r="AQ246" s="85"/>
      <c r="AR246" s="85"/>
      <c r="AS246" s="85"/>
      <c r="AT246" s="85"/>
      <c r="AU246" s="85"/>
      <c r="AV246" s="85"/>
      <c r="AW246" s="85"/>
    </row>
    <row r="247" spans="2:49" outlineLevel="1" x14ac:dyDescent="0.25">
      <c r="B247" s="158" t="s">
        <v>96</v>
      </c>
      <c r="C247" s="64"/>
      <c r="D247" s="64"/>
      <c r="E247" s="64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</row>
    <row r="248" spans="2:49" outlineLevel="1" x14ac:dyDescent="0.25">
      <c r="B248" s="133" t="s">
        <v>28</v>
      </c>
      <c r="C248" s="229">
        <f t="shared" ref="C248:AJ248" si="64">C212</f>
        <v>0</v>
      </c>
      <c r="D248" s="229">
        <f t="shared" si="64"/>
        <v>0</v>
      </c>
      <c r="E248" s="229">
        <f t="shared" si="64"/>
        <v>0</v>
      </c>
      <c r="F248" s="229">
        <f t="shared" si="64"/>
        <v>0</v>
      </c>
      <c r="G248" s="229">
        <f t="shared" si="64"/>
        <v>0</v>
      </c>
      <c r="H248" s="229">
        <f t="shared" si="64"/>
        <v>0</v>
      </c>
      <c r="I248" s="229">
        <f t="shared" si="64"/>
        <v>0</v>
      </c>
      <c r="J248" s="229">
        <f t="shared" si="64"/>
        <v>0</v>
      </c>
      <c r="K248" s="229">
        <f t="shared" si="64"/>
        <v>0</v>
      </c>
      <c r="L248" s="229">
        <f t="shared" si="64"/>
        <v>0</v>
      </c>
      <c r="M248" s="229">
        <f t="shared" si="64"/>
        <v>0</v>
      </c>
      <c r="N248" s="229">
        <f t="shared" si="64"/>
        <v>0</v>
      </c>
      <c r="O248" s="229">
        <f t="shared" si="64"/>
        <v>0</v>
      </c>
      <c r="P248" s="229">
        <f t="shared" si="64"/>
        <v>0</v>
      </c>
      <c r="Q248" s="229">
        <f t="shared" si="64"/>
        <v>0</v>
      </c>
      <c r="R248" s="229">
        <f t="shared" si="64"/>
        <v>0</v>
      </c>
      <c r="S248" s="229">
        <f t="shared" si="64"/>
        <v>0</v>
      </c>
      <c r="T248" s="229">
        <f t="shared" si="64"/>
        <v>0</v>
      </c>
      <c r="U248" s="229">
        <f t="shared" si="64"/>
        <v>0</v>
      </c>
      <c r="V248" s="229">
        <f t="shared" si="64"/>
        <v>0</v>
      </c>
      <c r="W248" s="229">
        <f t="shared" si="64"/>
        <v>0</v>
      </c>
      <c r="X248" s="229">
        <f t="shared" si="64"/>
        <v>0</v>
      </c>
      <c r="Y248" s="229">
        <f t="shared" si="64"/>
        <v>0</v>
      </c>
      <c r="Z248" s="229">
        <f t="shared" si="64"/>
        <v>0</v>
      </c>
      <c r="AA248" s="229">
        <f t="shared" si="64"/>
        <v>0</v>
      </c>
      <c r="AB248" s="229">
        <f t="shared" si="64"/>
        <v>0</v>
      </c>
      <c r="AC248" s="229">
        <f t="shared" si="64"/>
        <v>0</v>
      </c>
      <c r="AD248" s="229">
        <f t="shared" si="64"/>
        <v>0</v>
      </c>
      <c r="AE248" s="229">
        <f t="shared" si="64"/>
        <v>0</v>
      </c>
      <c r="AF248" s="229">
        <f t="shared" si="64"/>
        <v>0</v>
      </c>
      <c r="AG248" s="229">
        <f t="shared" si="64"/>
        <v>0</v>
      </c>
      <c r="AH248" s="229">
        <f t="shared" si="64"/>
        <v>0</v>
      </c>
      <c r="AI248" s="229">
        <f t="shared" si="64"/>
        <v>0</v>
      </c>
      <c r="AJ248" s="229">
        <f t="shared" si="64"/>
        <v>0</v>
      </c>
      <c r="AK248" s="134"/>
      <c r="AL248" s="134"/>
      <c r="AM248" s="134"/>
      <c r="AN248" s="134"/>
      <c r="AO248" s="134"/>
      <c r="AP248" s="134"/>
      <c r="AQ248" s="134"/>
      <c r="AR248" s="134"/>
      <c r="AS248" s="134"/>
      <c r="AT248" s="134"/>
      <c r="AU248" s="134"/>
      <c r="AV248" s="134"/>
      <c r="AW248" s="134"/>
    </row>
    <row r="249" spans="2:49" outlineLevel="1" x14ac:dyDescent="0.25">
      <c r="B249" s="132" t="s">
        <v>29</v>
      </c>
      <c r="C249" s="230">
        <f t="shared" ref="C249:AJ249" si="65">C216</f>
        <v>0</v>
      </c>
      <c r="D249" s="230">
        <f t="shared" si="65"/>
        <v>0</v>
      </c>
      <c r="E249" s="230">
        <f t="shared" si="65"/>
        <v>0</v>
      </c>
      <c r="F249" s="230">
        <f t="shared" si="65"/>
        <v>0</v>
      </c>
      <c r="G249" s="230">
        <f t="shared" si="65"/>
        <v>0</v>
      </c>
      <c r="H249" s="230">
        <f t="shared" si="65"/>
        <v>0</v>
      </c>
      <c r="I249" s="230">
        <f t="shared" si="65"/>
        <v>0</v>
      </c>
      <c r="J249" s="230">
        <f t="shared" si="65"/>
        <v>0</v>
      </c>
      <c r="K249" s="230">
        <f t="shared" si="65"/>
        <v>0</v>
      </c>
      <c r="L249" s="230">
        <f t="shared" si="65"/>
        <v>0</v>
      </c>
      <c r="M249" s="230">
        <f t="shared" si="65"/>
        <v>0</v>
      </c>
      <c r="N249" s="230">
        <f t="shared" si="65"/>
        <v>0</v>
      </c>
      <c r="O249" s="230">
        <f t="shared" si="65"/>
        <v>0</v>
      </c>
      <c r="P249" s="230">
        <f t="shared" si="65"/>
        <v>0</v>
      </c>
      <c r="Q249" s="230">
        <f t="shared" si="65"/>
        <v>0</v>
      </c>
      <c r="R249" s="230">
        <f t="shared" si="65"/>
        <v>0</v>
      </c>
      <c r="S249" s="230">
        <f t="shared" si="65"/>
        <v>0</v>
      </c>
      <c r="T249" s="230">
        <f t="shared" si="65"/>
        <v>0</v>
      </c>
      <c r="U249" s="230">
        <f t="shared" si="65"/>
        <v>0</v>
      </c>
      <c r="V249" s="230">
        <f t="shared" si="65"/>
        <v>0</v>
      </c>
      <c r="W249" s="230">
        <f t="shared" si="65"/>
        <v>0</v>
      </c>
      <c r="X249" s="230">
        <f t="shared" si="65"/>
        <v>0</v>
      </c>
      <c r="Y249" s="230">
        <f t="shared" si="65"/>
        <v>0</v>
      </c>
      <c r="Z249" s="230">
        <f t="shared" si="65"/>
        <v>0</v>
      </c>
      <c r="AA249" s="230">
        <f t="shared" si="65"/>
        <v>0</v>
      </c>
      <c r="AB249" s="230">
        <f t="shared" si="65"/>
        <v>0</v>
      </c>
      <c r="AC249" s="230">
        <f t="shared" si="65"/>
        <v>0</v>
      </c>
      <c r="AD249" s="230">
        <f t="shared" si="65"/>
        <v>0</v>
      </c>
      <c r="AE249" s="230">
        <f t="shared" si="65"/>
        <v>0</v>
      </c>
      <c r="AF249" s="230">
        <f t="shared" si="65"/>
        <v>0</v>
      </c>
      <c r="AG249" s="230">
        <f t="shared" si="65"/>
        <v>0</v>
      </c>
      <c r="AH249" s="230">
        <f t="shared" si="65"/>
        <v>0</v>
      </c>
      <c r="AI249" s="230">
        <f t="shared" si="65"/>
        <v>0</v>
      </c>
      <c r="AJ249" s="230">
        <f t="shared" si="65"/>
        <v>0</v>
      </c>
      <c r="AK249" s="132"/>
      <c r="AL249" s="132"/>
      <c r="AM249" s="132"/>
      <c r="AN249" s="132"/>
      <c r="AO249" s="132"/>
      <c r="AP249" s="132"/>
      <c r="AQ249" s="132"/>
      <c r="AR249" s="132"/>
      <c r="AS249" s="132"/>
      <c r="AT249" s="132"/>
      <c r="AU249" s="132"/>
      <c r="AV249" s="132"/>
      <c r="AW249" s="132"/>
    </row>
    <row r="250" spans="2:49" outlineLevel="1" x14ac:dyDescent="0.25">
      <c r="B250" s="135" t="s">
        <v>30</v>
      </c>
      <c r="C250" s="231">
        <f t="shared" ref="C250:AJ250" si="66">C220</f>
        <v>0</v>
      </c>
      <c r="D250" s="231">
        <f t="shared" si="66"/>
        <v>0</v>
      </c>
      <c r="E250" s="231">
        <f t="shared" si="66"/>
        <v>0</v>
      </c>
      <c r="F250" s="231">
        <f t="shared" si="66"/>
        <v>0</v>
      </c>
      <c r="G250" s="231">
        <f t="shared" si="66"/>
        <v>0</v>
      </c>
      <c r="H250" s="231">
        <f t="shared" si="66"/>
        <v>0</v>
      </c>
      <c r="I250" s="231">
        <f t="shared" si="66"/>
        <v>0</v>
      </c>
      <c r="J250" s="231">
        <f t="shared" si="66"/>
        <v>0</v>
      </c>
      <c r="K250" s="231">
        <f t="shared" si="66"/>
        <v>0</v>
      </c>
      <c r="L250" s="231">
        <f t="shared" si="66"/>
        <v>0</v>
      </c>
      <c r="M250" s="231">
        <f t="shared" si="66"/>
        <v>0</v>
      </c>
      <c r="N250" s="231">
        <f t="shared" si="66"/>
        <v>0</v>
      </c>
      <c r="O250" s="231">
        <f t="shared" si="66"/>
        <v>0</v>
      </c>
      <c r="P250" s="231">
        <f t="shared" si="66"/>
        <v>0</v>
      </c>
      <c r="Q250" s="231">
        <f t="shared" si="66"/>
        <v>0</v>
      </c>
      <c r="R250" s="231">
        <f t="shared" si="66"/>
        <v>0</v>
      </c>
      <c r="S250" s="231">
        <f t="shared" si="66"/>
        <v>0</v>
      </c>
      <c r="T250" s="231">
        <f t="shared" si="66"/>
        <v>0</v>
      </c>
      <c r="U250" s="231">
        <f t="shared" si="66"/>
        <v>0</v>
      </c>
      <c r="V250" s="231">
        <f t="shared" si="66"/>
        <v>0</v>
      </c>
      <c r="W250" s="231">
        <f t="shared" si="66"/>
        <v>0</v>
      </c>
      <c r="X250" s="231">
        <f t="shared" si="66"/>
        <v>0</v>
      </c>
      <c r="Y250" s="231">
        <f t="shared" si="66"/>
        <v>0</v>
      </c>
      <c r="Z250" s="231">
        <f t="shared" si="66"/>
        <v>0</v>
      </c>
      <c r="AA250" s="231">
        <f t="shared" si="66"/>
        <v>0</v>
      </c>
      <c r="AB250" s="231">
        <f t="shared" si="66"/>
        <v>0</v>
      </c>
      <c r="AC250" s="231">
        <f t="shared" si="66"/>
        <v>0</v>
      </c>
      <c r="AD250" s="231">
        <f t="shared" si="66"/>
        <v>0</v>
      </c>
      <c r="AE250" s="231">
        <f t="shared" si="66"/>
        <v>0</v>
      </c>
      <c r="AF250" s="231">
        <f t="shared" si="66"/>
        <v>0</v>
      </c>
      <c r="AG250" s="231">
        <f t="shared" si="66"/>
        <v>0</v>
      </c>
      <c r="AH250" s="231">
        <f t="shared" si="66"/>
        <v>0</v>
      </c>
      <c r="AI250" s="231">
        <f t="shared" si="66"/>
        <v>0</v>
      </c>
      <c r="AJ250" s="231">
        <f t="shared" si="66"/>
        <v>0</v>
      </c>
      <c r="AK250" s="135"/>
      <c r="AL250" s="135"/>
      <c r="AM250" s="135"/>
      <c r="AN250" s="135"/>
      <c r="AO250" s="135"/>
      <c r="AP250" s="135"/>
      <c r="AQ250" s="135"/>
      <c r="AR250" s="135"/>
      <c r="AS250" s="135"/>
      <c r="AT250" s="135"/>
      <c r="AU250" s="135"/>
      <c r="AV250" s="135"/>
      <c r="AW250" s="135"/>
    </row>
    <row r="251" spans="2:49" outlineLevel="1" x14ac:dyDescent="0.25">
      <c r="B251" s="159" t="s">
        <v>74</v>
      </c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</row>
    <row r="252" spans="2:49" outlineLevel="1" x14ac:dyDescent="0.25">
      <c r="B252" s="89" t="s">
        <v>73</v>
      </c>
      <c r="C252" s="89"/>
      <c r="D252" s="89"/>
      <c r="E252" s="89"/>
      <c r="F252" s="97">
        <v>0.05</v>
      </c>
      <c r="G252" s="97">
        <v>9.5000000000000001E-2</v>
      </c>
      <c r="H252" s="97">
        <v>8.5500000000000007E-2</v>
      </c>
      <c r="I252" s="97">
        <v>7.6999999999999999E-2</v>
      </c>
      <c r="J252" s="97">
        <v>6.93E-2</v>
      </c>
      <c r="K252" s="97">
        <v>6.2300000000000001E-2</v>
      </c>
      <c r="L252" s="97">
        <v>5.8999999999999997E-2</v>
      </c>
      <c r="M252" s="97">
        <v>5.8999999999999997E-2</v>
      </c>
      <c r="N252" s="97">
        <v>5.91E-2</v>
      </c>
      <c r="O252" s="97">
        <v>5.8999999999999997E-2</v>
      </c>
      <c r="P252" s="97">
        <v>5.91E-2</v>
      </c>
      <c r="Q252" s="97">
        <v>5.8999999999999997E-2</v>
      </c>
      <c r="R252" s="97">
        <v>5.91E-2</v>
      </c>
      <c r="S252" s="97">
        <v>5.8999999999999997E-2</v>
      </c>
      <c r="T252" s="97">
        <v>5.91E-2</v>
      </c>
      <c r="U252" s="97">
        <v>2.9499999999999998E-2</v>
      </c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  <c r="AK252" s="89"/>
      <c r="AL252" s="89"/>
      <c r="AM252" s="89"/>
      <c r="AN252" s="89"/>
      <c r="AO252" s="89"/>
      <c r="AP252" s="89"/>
      <c r="AQ252" s="89"/>
      <c r="AR252" s="89"/>
      <c r="AS252" s="89"/>
      <c r="AT252" s="89"/>
      <c r="AU252" s="89"/>
      <c r="AV252" s="89"/>
      <c r="AW252" s="89"/>
    </row>
    <row r="253" spans="2:49" outlineLevel="1" x14ac:dyDescent="0.25">
      <c r="B253" s="92" t="s">
        <v>61</v>
      </c>
      <c r="C253" s="92"/>
      <c r="D253" s="92"/>
      <c r="E253" s="92"/>
      <c r="F253" s="76">
        <f t="shared" ref="F253:U253" si="67">$C$97*F252</f>
        <v>51.300000000000004</v>
      </c>
      <c r="G253" s="76">
        <f t="shared" si="67"/>
        <v>97.47</v>
      </c>
      <c r="H253" s="76">
        <f t="shared" si="67"/>
        <v>87.723000000000013</v>
      </c>
      <c r="I253" s="76">
        <f t="shared" si="67"/>
        <v>79.001999999999995</v>
      </c>
      <c r="J253" s="76">
        <f t="shared" si="67"/>
        <v>71.101799999999997</v>
      </c>
      <c r="K253" s="76">
        <f t="shared" si="67"/>
        <v>63.919800000000002</v>
      </c>
      <c r="L253" s="76">
        <f t="shared" si="67"/>
        <v>60.533999999999999</v>
      </c>
      <c r="M253" s="76">
        <f t="shared" si="67"/>
        <v>60.533999999999999</v>
      </c>
      <c r="N253" s="76">
        <f t="shared" si="67"/>
        <v>60.636600000000001</v>
      </c>
      <c r="O253" s="76">
        <f t="shared" si="67"/>
        <v>60.533999999999999</v>
      </c>
      <c r="P253" s="76">
        <f t="shared" si="67"/>
        <v>60.636600000000001</v>
      </c>
      <c r="Q253" s="76">
        <f t="shared" si="67"/>
        <v>60.533999999999999</v>
      </c>
      <c r="R253" s="76">
        <f t="shared" si="67"/>
        <v>60.636600000000001</v>
      </c>
      <c r="S253" s="76">
        <f t="shared" si="67"/>
        <v>60.533999999999999</v>
      </c>
      <c r="T253" s="76">
        <f t="shared" si="67"/>
        <v>60.636600000000001</v>
      </c>
      <c r="U253" s="76">
        <f t="shared" si="67"/>
        <v>30.266999999999999</v>
      </c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</row>
    <row r="254" spans="2:49" outlineLevel="1" x14ac:dyDescent="0.25">
      <c r="B254" s="93" t="s">
        <v>62</v>
      </c>
      <c r="C254" s="93"/>
      <c r="D254" s="93"/>
      <c r="E254" s="93"/>
      <c r="F254" s="98">
        <f>C97-F253</f>
        <v>974.7</v>
      </c>
      <c r="G254" s="98">
        <f>F254-G253</f>
        <v>877.23</v>
      </c>
      <c r="H254" s="98">
        <f t="shared" ref="H254" si="68">G254-H253</f>
        <v>789.50700000000006</v>
      </c>
      <c r="I254" s="98">
        <f t="shared" ref="I254" si="69">H254-I253</f>
        <v>710.50500000000011</v>
      </c>
      <c r="J254" s="98">
        <f t="shared" ref="J254" si="70">I254-J253</f>
        <v>639.40320000000008</v>
      </c>
      <c r="K254" s="98">
        <f t="shared" ref="K254" si="71">J254-K253</f>
        <v>575.48340000000007</v>
      </c>
      <c r="L254" s="98">
        <f t="shared" ref="L254" si="72">K254-L253</f>
        <v>514.94940000000008</v>
      </c>
      <c r="M254" s="98">
        <f t="shared" ref="M254" si="73">L254-M253</f>
        <v>454.41540000000009</v>
      </c>
      <c r="N254" s="98">
        <f t="shared" ref="N254" si="74">M254-N253</f>
        <v>393.7788000000001</v>
      </c>
      <c r="O254" s="98">
        <f t="shared" ref="O254" si="75">N254-O253</f>
        <v>333.24480000000011</v>
      </c>
      <c r="P254" s="98">
        <f t="shared" ref="P254" si="76">O254-P253</f>
        <v>272.60820000000012</v>
      </c>
      <c r="Q254" s="98">
        <f t="shared" ref="Q254" si="77">P254-Q253</f>
        <v>212.07420000000013</v>
      </c>
      <c r="R254" s="98">
        <f t="shared" ref="R254" si="78">Q254-R253</f>
        <v>151.43760000000015</v>
      </c>
      <c r="S254" s="98">
        <f t="shared" ref="S254" si="79">R254-S253</f>
        <v>90.903600000000154</v>
      </c>
      <c r="T254" s="98">
        <f t="shared" ref="T254" si="80">S254-T253</f>
        <v>30.267000000000152</v>
      </c>
      <c r="U254" s="98">
        <f t="shared" ref="U254" si="81">T254-U253</f>
        <v>1.5276668818842154E-13</v>
      </c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</row>
    <row r="255" spans="2:49" outlineLevel="1" x14ac:dyDescent="0.25">
      <c r="B255" s="158" t="s">
        <v>71</v>
      </c>
      <c r="C255" s="64"/>
      <c r="D255" s="64"/>
      <c r="E255" s="64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</row>
    <row r="256" spans="2:49" outlineLevel="1" x14ac:dyDescent="0.25">
      <c r="B256" s="89" t="s">
        <v>72</v>
      </c>
      <c r="C256" s="89"/>
      <c r="D256" s="89"/>
      <c r="E256" s="89"/>
      <c r="F256" s="97">
        <f t="shared" ref="F256:AW256" si="82">IF(F231&gt;$C$224-1,HLOOKUP(F231-$C$224+1,$C$226:$AG$227,2),0)</f>
        <v>0</v>
      </c>
      <c r="G256" s="97">
        <f t="shared" si="82"/>
        <v>0</v>
      </c>
      <c r="H256" s="97">
        <f t="shared" si="82"/>
        <v>0</v>
      </c>
      <c r="I256" s="97">
        <f t="shared" si="82"/>
        <v>0</v>
      </c>
      <c r="J256" s="97">
        <f t="shared" si="82"/>
        <v>0</v>
      </c>
      <c r="K256" s="97">
        <f t="shared" si="82"/>
        <v>0</v>
      </c>
      <c r="L256" s="97">
        <f t="shared" si="82"/>
        <v>0</v>
      </c>
      <c r="M256" s="97">
        <f t="shared" si="82"/>
        <v>0</v>
      </c>
      <c r="N256" s="97">
        <f t="shared" si="82"/>
        <v>0</v>
      </c>
      <c r="O256" s="97">
        <f t="shared" si="82"/>
        <v>0</v>
      </c>
      <c r="P256" s="97">
        <f t="shared" si="82"/>
        <v>0</v>
      </c>
      <c r="Q256" s="97">
        <f t="shared" si="82"/>
        <v>0</v>
      </c>
      <c r="R256" s="97">
        <f t="shared" si="82"/>
        <v>0</v>
      </c>
      <c r="S256" s="97">
        <f t="shared" si="82"/>
        <v>0</v>
      </c>
      <c r="T256" s="97">
        <f t="shared" si="82"/>
        <v>0</v>
      </c>
      <c r="U256" s="97">
        <f t="shared" si="82"/>
        <v>0</v>
      </c>
      <c r="V256" s="89">
        <f t="shared" si="82"/>
        <v>0</v>
      </c>
      <c r="W256" s="89">
        <f t="shared" si="82"/>
        <v>0</v>
      </c>
      <c r="X256" s="89">
        <f t="shared" si="82"/>
        <v>0</v>
      </c>
      <c r="Y256" s="89">
        <f t="shared" si="82"/>
        <v>0</v>
      </c>
      <c r="Z256" s="89">
        <f t="shared" si="82"/>
        <v>0</v>
      </c>
      <c r="AA256" s="89">
        <f t="shared" si="82"/>
        <v>0</v>
      </c>
      <c r="AB256" s="89">
        <f t="shared" si="82"/>
        <v>0</v>
      </c>
      <c r="AC256" s="89">
        <f t="shared" si="82"/>
        <v>0</v>
      </c>
      <c r="AD256" s="89">
        <f t="shared" si="82"/>
        <v>0</v>
      </c>
      <c r="AE256" s="89">
        <f t="shared" si="82"/>
        <v>0</v>
      </c>
      <c r="AF256" s="89">
        <f t="shared" si="82"/>
        <v>0</v>
      </c>
      <c r="AG256" s="89">
        <f t="shared" si="82"/>
        <v>0</v>
      </c>
      <c r="AH256" s="89">
        <f t="shared" si="82"/>
        <v>0</v>
      </c>
      <c r="AI256" s="89">
        <f t="shared" si="82"/>
        <v>0</v>
      </c>
      <c r="AJ256" s="89">
        <f t="shared" si="82"/>
        <v>0</v>
      </c>
      <c r="AK256" s="89">
        <f t="shared" si="82"/>
        <v>0</v>
      </c>
      <c r="AL256" s="89">
        <f t="shared" si="82"/>
        <v>0</v>
      </c>
      <c r="AM256" s="89">
        <f t="shared" si="82"/>
        <v>0</v>
      </c>
      <c r="AN256" s="89">
        <f t="shared" si="82"/>
        <v>0</v>
      </c>
      <c r="AO256" s="89">
        <f t="shared" si="82"/>
        <v>0</v>
      </c>
      <c r="AP256" s="89">
        <f t="shared" si="82"/>
        <v>0</v>
      </c>
      <c r="AQ256" s="89">
        <f t="shared" si="82"/>
        <v>0</v>
      </c>
      <c r="AR256" s="89">
        <f t="shared" si="82"/>
        <v>0</v>
      </c>
      <c r="AS256" s="89">
        <f t="shared" si="82"/>
        <v>0</v>
      </c>
      <c r="AT256" s="89">
        <f t="shared" si="82"/>
        <v>0</v>
      </c>
      <c r="AU256" s="89">
        <f t="shared" si="82"/>
        <v>0</v>
      </c>
      <c r="AV256" s="89">
        <f t="shared" si="82"/>
        <v>0</v>
      </c>
      <c r="AW256" s="89">
        <f t="shared" si="82"/>
        <v>0</v>
      </c>
    </row>
    <row r="257" spans="2:49" outlineLevel="1" x14ac:dyDescent="0.25">
      <c r="B257" s="92" t="s">
        <v>60</v>
      </c>
      <c r="C257" s="92"/>
      <c r="D257" s="92"/>
      <c r="E257" s="92"/>
      <c r="F257" s="76">
        <f t="shared" ref="F257:AW257" si="83">F256*$D$97</f>
        <v>0</v>
      </c>
      <c r="G257" s="76">
        <f t="shared" si="83"/>
        <v>0</v>
      </c>
      <c r="H257" s="76">
        <f t="shared" si="83"/>
        <v>0</v>
      </c>
      <c r="I257" s="76">
        <f t="shared" si="83"/>
        <v>0</v>
      </c>
      <c r="J257" s="76">
        <f t="shared" si="83"/>
        <v>0</v>
      </c>
      <c r="K257" s="76">
        <f t="shared" si="83"/>
        <v>0</v>
      </c>
      <c r="L257" s="76">
        <f t="shared" si="83"/>
        <v>0</v>
      </c>
      <c r="M257" s="76">
        <f t="shared" si="83"/>
        <v>0</v>
      </c>
      <c r="N257" s="76">
        <f t="shared" si="83"/>
        <v>0</v>
      </c>
      <c r="O257" s="76">
        <f t="shared" si="83"/>
        <v>0</v>
      </c>
      <c r="P257" s="76">
        <f t="shared" si="83"/>
        <v>0</v>
      </c>
      <c r="Q257" s="76">
        <f t="shared" si="83"/>
        <v>0</v>
      </c>
      <c r="R257" s="76">
        <f t="shared" si="83"/>
        <v>0</v>
      </c>
      <c r="S257" s="76">
        <f t="shared" si="83"/>
        <v>0</v>
      </c>
      <c r="T257" s="76">
        <f t="shared" si="83"/>
        <v>0</v>
      </c>
      <c r="U257" s="76">
        <f t="shared" si="83"/>
        <v>0</v>
      </c>
      <c r="V257" s="92">
        <f t="shared" si="83"/>
        <v>0</v>
      </c>
      <c r="W257" s="92">
        <f t="shared" si="83"/>
        <v>0</v>
      </c>
      <c r="X257" s="92">
        <f t="shared" si="83"/>
        <v>0</v>
      </c>
      <c r="Y257" s="92">
        <f t="shared" si="83"/>
        <v>0</v>
      </c>
      <c r="Z257" s="92">
        <f t="shared" si="83"/>
        <v>0</v>
      </c>
      <c r="AA257" s="92">
        <f t="shared" si="83"/>
        <v>0</v>
      </c>
      <c r="AB257" s="92">
        <f t="shared" si="83"/>
        <v>0</v>
      </c>
      <c r="AC257" s="92">
        <f t="shared" si="83"/>
        <v>0</v>
      </c>
      <c r="AD257" s="92">
        <f t="shared" si="83"/>
        <v>0</v>
      </c>
      <c r="AE257" s="92">
        <f t="shared" si="83"/>
        <v>0</v>
      </c>
      <c r="AF257" s="92">
        <f t="shared" si="83"/>
        <v>0</v>
      </c>
      <c r="AG257" s="92">
        <f t="shared" si="83"/>
        <v>0</v>
      </c>
      <c r="AH257" s="92">
        <f t="shared" si="83"/>
        <v>0</v>
      </c>
      <c r="AI257" s="92">
        <f t="shared" si="83"/>
        <v>0</v>
      </c>
      <c r="AJ257" s="92">
        <f t="shared" si="83"/>
        <v>0</v>
      </c>
      <c r="AK257" s="92">
        <f t="shared" si="83"/>
        <v>0</v>
      </c>
      <c r="AL257" s="92">
        <f t="shared" si="83"/>
        <v>0</v>
      </c>
      <c r="AM257" s="92">
        <f t="shared" si="83"/>
        <v>0</v>
      </c>
      <c r="AN257" s="92">
        <f t="shared" si="83"/>
        <v>0</v>
      </c>
      <c r="AO257" s="92">
        <f t="shared" si="83"/>
        <v>0</v>
      </c>
      <c r="AP257" s="92">
        <f t="shared" si="83"/>
        <v>0</v>
      </c>
      <c r="AQ257" s="92">
        <f t="shared" si="83"/>
        <v>0</v>
      </c>
      <c r="AR257" s="92">
        <f t="shared" si="83"/>
        <v>0</v>
      </c>
      <c r="AS257" s="92">
        <f t="shared" si="83"/>
        <v>0</v>
      </c>
      <c r="AT257" s="92">
        <f t="shared" si="83"/>
        <v>0</v>
      </c>
      <c r="AU257" s="92">
        <f t="shared" si="83"/>
        <v>0</v>
      </c>
      <c r="AV257" s="92">
        <f t="shared" si="83"/>
        <v>0</v>
      </c>
      <c r="AW257" s="92">
        <f t="shared" si="83"/>
        <v>0</v>
      </c>
    </row>
    <row r="258" spans="2:49" outlineLevel="1" x14ac:dyDescent="0.25">
      <c r="B258" s="93" t="s">
        <v>63</v>
      </c>
      <c r="C258" s="93"/>
      <c r="D258" s="93"/>
      <c r="E258" s="93"/>
      <c r="F258" s="98">
        <f t="shared" ref="F258:AW258" si="84">IF(F256&gt;0,IF(E256=0,$D$97-F257,E258-F257),0)</f>
        <v>0</v>
      </c>
      <c r="G258" s="98">
        <f t="shared" si="84"/>
        <v>0</v>
      </c>
      <c r="H258" s="98">
        <f t="shared" si="84"/>
        <v>0</v>
      </c>
      <c r="I258" s="98">
        <f t="shared" si="84"/>
        <v>0</v>
      </c>
      <c r="J258" s="98">
        <f t="shared" si="84"/>
        <v>0</v>
      </c>
      <c r="K258" s="98">
        <f t="shared" si="84"/>
        <v>0</v>
      </c>
      <c r="L258" s="98">
        <f t="shared" si="84"/>
        <v>0</v>
      </c>
      <c r="M258" s="98">
        <f t="shared" si="84"/>
        <v>0</v>
      </c>
      <c r="N258" s="98">
        <f t="shared" si="84"/>
        <v>0</v>
      </c>
      <c r="O258" s="98">
        <f t="shared" si="84"/>
        <v>0</v>
      </c>
      <c r="P258" s="98">
        <f t="shared" si="84"/>
        <v>0</v>
      </c>
      <c r="Q258" s="98">
        <f t="shared" si="84"/>
        <v>0</v>
      </c>
      <c r="R258" s="98">
        <f t="shared" si="84"/>
        <v>0</v>
      </c>
      <c r="S258" s="98">
        <f t="shared" si="84"/>
        <v>0</v>
      </c>
      <c r="T258" s="98">
        <f t="shared" si="84"/>
        <v>0</v>
      </c>
      <c r="U258" s="98">
        <f t="shared" si="84"/>
        <v>0</v>
      </c>
      <c r="V258" s="93">
        <f t="shared" si="84"/>
        <v>0</v>
      </c>
      <c r="W258" s="93">
        <f t="shared" si="84"/>
        <v>0</v>
      </c>
      <c r="X258" s="93">
        <f t="shared" si="84"/>
        <v>0</v>
      </c>
      <c r="Y258" s="93">
        <f t="shared" si="84"/>
        <v>0</v>
      </c>
      <c r="Z258" s="93">
        <f t="shared" si="84"/>
        <v>0</v>
      </c>
      <c r="AA258" s="93">
        <f t="shared" si="84"/>
        <v>0</v>
      </c>
      <c r="AB258" s="93">
        <f t="shared" si="84"/>
        <v>0</v>
      </c>
      <c r="AC258" s="93">
        <f t="shared" si="84"/>
        <v>0</v>
      </c>
      <c r="AD258" s="93">
        <f t="shared" si="84"/>
        <v>0</v>
      </c>
      <c r="AE258" s="93">
        <f t="shared" si="84"/>
        <v>0</v>
      </c>
      <c r="AF258" s="93">
        <f t="shared" si="84"/>
        <v>0</v>
      </c>
      <c r="AG258" s="93">
        <f t="shared" si="84"/>
        <v>0</v>
      </c>
      <c r="AH258" s="93">
        <f t="shared" si="84"/>
        <v>0</v>
      </c>
      <c r="AI258" s="93">
        <f t="shared" si="84"/>
        <v>0</v>
      </c>
      <c r="AJ258" s="93">
        <f t="shared" si="84"/>
        <v>0</v>
      </c>
      <c r="AK258" s="93">
        <f t="shared" si="84"/>
        <v>0</v>
      </c>
      <c r="AL258" s="93">
        <f t="shared" si="84"/>
        <v>0</v>
      </c>
      <c r="AM258" s="93">
        <f t="shared" si="84"/>
        <v>0</v>
      </c>
      <c r="AN258" s="93">
        <f t="shared" si="84"/>
        <v>0</v>
      </c>
      <c r="AO258" s="93">
        <f t="shared" si="84"/>
        <v>0</v>
      </c>
      <c r="AP258" s="93">
        <f t="shared" si="84"/>
        <v>0</v>
      </c>
      <c r="AQ258" s="93">
        <f t="shared" si="84"/>
        <v>0</v>
      </c>
      <c r="AR258" s="93">
        <f t="shared" si="84"/>
        <v>0</v>
      </c>
      <c r="AS258" s="93">
        <f t="shared" si="84"/>
        <v>0</v>
      </c>
      <c r="AT258" s="93">
        <f t="shared" si="84"/>
        <v>0</v>
      </c>
      <c r="AU258" s="93">
        <f t="shared" si="84"/>
        <v>0</v>
      </c>
      <c r="AV258" s="93">
        <f t="shared" si="84"/>
        <v>0</v>
      </c>
      <c r="AW258" s="93">
        <f t="shared" si="84"/>
        <v>0</v>
      </c>
    </row>
    <row r="259" spans="2:49" outlineLevel="1" x14ac:dyDescent="0.25">
      <c r="B259" s="158" t="s">
        <v>107</v>
      </c>
      <c r="C259" s="64"/>
      <c r="D259" s="64"/>
      <c r="E259" s="64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</row>
    <row r="260" spans="2:49" outlineLevel="1" x14ac:dyDescent="0.25">
      <c r="B260" s="69" t="s">
        <v>17</v>
      </c>
      <c r="C260" s="69"/>
      <c r="D260" s="69"/>
      <c r="E260" s="69"/>
      <c r="F260" s="88">
        <f t="shared" ref="F260:AJ260" si="85">F245-F246-F248-F249-F250-F253-F235-F257-F240</f>
        <v>103.21487424271996</v>
      </c>
      <c r="G260" s="88">
        <f t="shared" si="85"/>
        <v>51.028873942727472</v>
      </c>
      <c r="H260" s="88">
        <f>H245-H246-H248-H249-H250-H253-H235-H257-H240</f>
        <v>56.837712737994636</v>
      </c>
      <c r="I260" s="88">
        <f t="shared" si="85"/>
        <v>59.463896472699389</v>
      </c>
      <c r="J260" s="88">
        <f t="shared" si="85"/>
        <v>62.837680994640898</v>
      </c>
      <c r="K260" s="88">
        <f t="shared" si="85"/>
        <v>63.025462179015079</v>
      </c>
      <c r="L260" s="88">
        <f t="shared" si="85"/>
        <v>61.426554974730934</v>
      </c>
      <c r="M260" s="88">
        <f t="shared" si="85"/>
        <v>57.687785805826593</v>
      </c>
      <c r="N260" s="88">
        <f t="shared" si="85"/>
        <v>51.467124989569157</v>
      </c>
      <c r="O260" s="88">
        <f t="shared" si="85"/>
        <v>47.621765307535924</v>
      </c>
      <c r="P260" s="88">
        <f t="shared" si="85"/>
        <v>67.487048656760024</v>
      </c>
      <c r="Q260" s="88">
        <f t="shared" si="85"/>
        <v>64.316557666519998</v>
      </c>
      <c r="R260" s="88">
        <f t="shared" si="85"/>
        <v>59.260504107919971</v>
      </c>
      <c r="S260" s="88">
        <f t="shared" si="85"/>
        <v>57.106630897759963</v>
      </c>
      <c r="T260" s="88">
        <f t="shared" si="85"/>
        <v>53.942308808720028</v>
      </c>
      <c r="U260" s="88">
        <f t="shared" si="85"/>
        <v>80.368273395559982</v>
      </c>
      <c r="V260" s="88">
        <f t="shared" si="85"/>
        <v>108.53631413084</v>
      </c>
      <c r="W260" s="88">
        <f t="shared" si="85"/>
        <v>105.08528768168</v>
      </c>
      <c r="X260" s="88">
        <f t="shared" si="85"/>
        <v>104.79878797471997</v>
      </c>
      <c r="Y260" s="88">
        <f t="shared" si="85"/>
        <v>102.70831923487998</v>
      </c>
      <c r="Z260" s="88">
        <f t="shared" si="85"/>
        <v>99.199293675439975</v>
      </c>
      <c r="AA260" s="88">
        <f t="shared" si="85"/>
        <v>97.755521607560013</v>
      </c>
      <c r="AB260" s="88">
        <f t="shared" si="85"/>
        <v>95.819615630480001</v>
      </c>
      <c r="AC260" s="88">
        <f t="shared" si="85"/>
        <v>93.758860171160023</v>
      </c>
      <c r="AD260" s="88">
        <f t="shared" si="85"/>
        <v>92.96248440139999</v>
      </c>
      <c r="AE260" s="88">
        <f t="shared" si="85"/>
        <v>91.439193494839969</v>
      </c>
      <c r="AF260" s="88">
        <f t="shared" si="85"/>
        <v>88.773939693919999</v>
      </c>
      <c r="AG260" s="88">
        <f t="shared" si="85"/>
        <v>87.714943723159934</v>
      </c>
      <c r="AH260" s="88">
        <f t="shared" si="85"/>
        <v>86.034767112079976</v>
      </c>
      <c r="AI260" s="88">
        <f t="shared" si="85"/>
        <v>84.47202379351998</v>
      </c>
      <c r="AJ260" s="88">
        <f t="shared" si="85"/>
        <v>82.812017704400034</v>
      </c>
      <c r="AK260" s="88">
        <f t="shared" ref="AK260:AW260" si="86">AK245-AK246-AK248-AK249-AK250-AK253-AK235-AK257-AK240</f>
        <v>0</v>
      </c>
      <c r="AL260" s="88">
        <f t="shared" si="86"/>
        <v>0</v>
      </c>
      <c r="AM260" s="88">
        <f t="shared" si="86"/>
        <v>0</v>
      </c>
      <c r="AN260" s="88">
        <f t="shared" si="86"/>
        <v>0</v>
      </c>
      <c r="AO260" s="88">
        <f t="shared" si="86"/>
        <v>0</v>
      </c>
      <c r="AP260" s="88">
        <f t="shared" si="86"/>
        <v>0</v>
      </c>
      <c r="AQ260" s="88">
        <f t="shared" si="86"/>
        <v>0</v>
      </c>
      <c r="AR260" s="88">
        <f t="shared" si="86"/>
        <v>0</v>
      </c>
      <c r="AS260" s="88">
        <f t="shared" si="86"/>
        <v>0</v>
      </c>
      <c r="AT260" s="88">
        <f t="shared" si="86"/>
        <v>0</v>
      </c>
      <c r="AU260" s="88">
        <f t="shared" si="86"/>
        <v>0</v>
      </c>
      <c r="AV260" s="88">
        <f t="shared" si="86"/>
        <v>0</v>
      </c>
      <c r="AW260" s="88">
        <f t="shared" si="86"/>
        <v>0</v>
      </c>
    </row>
    <row r="261" spans="2:49" outlineLevel="1" x14ac:dyDescent="0.25">
      <c r="B261" s="91" t="s">
        <v>18</v>
      </c>
      <c r="C261" s="91"/>
      <c r="D261" s="91"/>
      <c r="E261" s="91"/>
      <c r="F261" s="95"/>
      <c r="G261" s="95">
        <f t="shared" ref="G261" si="87">IF(F262&lt;0,F262,0)</f>
        <v>0</v>
      </c>
      <c r="H261" s="95">
        <f t="shared" ref="H261" si="88">IF(G262&lt;0,G262,0)</f>
        <v>0</v>
      </c>
      <c r="I261" s="95">
        <f t="shared" ref="I261" si="89">IF(H262&lt;0,H262,0)</f>
        <v>0</v>
      </c>
      <c r="J261" s="95">
        <f t="shared" ref="J261" si="90">IF(I262&lt;0,I262,0)</f>
        <v>0</v>
      </c>
      <c r="K261" s="95">
        <f t="shared" ref="K261" si="91">IF(J262&lt;0,J262,0)</f>
        <v>0</v>
      </c>
      <c r="L261" s="95">
        <f t="shared" ref="L261" si="92">IF(K262&lt;0,K262,0)</f>
        <v>0</v>
      </c>
      <c r="M261" s="95">
        <f t="shared" ref="M261" si="93">IF(L262&lt;0,L262,0)</f>
        <v>0</v>
      </c>
      <c r="N261" s="95">
        <f t="shared" ref="N261" si="94">IF(M262&lt;0,M262,0)</f>
        <v>0</v>
      </c>
      <c r="O261" s="95">
        <f t="shared" ref="O261" si="95">IF(N262&lt;0,N262,0)</f>
        <v>0</v>
      </c>
      <c r="P261" s="95">
        <f>IF(O262&lt;0,O262,0)</f>
        <v>0</v>
      </c>
      <c r="Q261" s="95">
        <f>IF(P262&lt;0,P262,0)</f>
        <v>0</v>
      </c>
      <c r="R261" s="95">
        <f>IF(Q262&lt;0,Q262,0)</f>
        <v>0</v>
      </c>
      <c r="S261" s="95">
        <f t="shared" ref="S261" si="96">IF(R262&lt;0,R262,0)</f>
        <v>0</v>
      </c>
      <c r="T261" s="95">
        <f t="shared" ref="T261" si="97">IF(S262&lt;0,S262,0)</f>
        <v>0</v>
      </c>
      <c r="U261" s="95">
        <f t="shared" ref="U261" si="98">IF(T262&lt;0,T262,0)</f>
        <v>0</v>
      </c>
      <c r="V261" s="95">
        <f t="shared" ref="V261" si="99">IF(U262&lt;0,U262,0)</f>
        <v>0</v>
      </c>
      <c r="W261" s="95">
        <f t="shared" ref="W261" si="100">IF(V262&lt;0,V262,0)</f>
        <v>0</v>
      </c>
      <c r="X261" s="95">
        <f t="shared" ref="X261" si="101">IF(W262&lt;0,W262,0)</f>
        <v>0</v>
      </c>
      <c r="Y261" s="95">
        <f t="shared" ref="Y261" si="102">IF(X262&lt;0,X262,0)</f>
        <v>0</v>
      </c>
      <c r="Z261" s="95">
        <f t="shared" ref="Z261" si="103">IF(Y262&lt;0,Y262,0)</f>
        <v>0</v>
      </c>
      <c r="AA261" s="95">
        <f t="shared" ref="AA261" si="104">IF(Z262&lt;0,Z262,0)</f>
        <v>0</v>
      </c>
      <c r="AB261" s="95">
        <f t="shared" ref="AB261" si="105">IF(AA262&lt;0,AA262,0)</f>
        <v>0</v>
      </c>
      <c r="AC261" s="95">
        <f t="shared" ref="AC261" si="106">IF(AB262&lt;0,AB262,0)</f>
        <v>0</v>
      </c>
      <c r="AD261" s="95">
        <f t="shared" ref="AD261" si="107">IF(AC262&lt;0,AC262,0)</f>
        <v>0</v>
      </c>
      <c r="AE261" s="95">
        <f t="shared" ref="AE261" si="108">IF(AD262&lt;0,AD262,0)</f>
        <v>0</v>
      </c>
      <c r="AF261" s="95">
        <f t="shared" ref="AF261" si="109">IF(AE262&lt;0,AE262,0)</f>
        <v>0</v>
      </c>
      <c r="AG261" s="95">
        <f t="shared" ref="AG261" si="110">IF(AF262&lt;0,AF262,0)</f>
        <v>0</v>
      </c>
      <c r="AH261" s="95">
        <f t="shared" ref="AH261" si="111">IF(AG262&lt;0,AG262,0)</f>
        <v>0</v>
      </c>
      <c r="AI261" s="95">
        <f t="shared" ref="AI261" si="112">IF(AH262&lt;0,AH262,0)</f>
        <v>0</v>
      </c>
      <c r="AJ261" s="95">
        <f t="shared" ref="AJ261" si="113">IF(AI262&lt;0,AI262,0)</f>
        <v>0</v>
      </c>
      <c r="AK261" s="95">
        <f t="shared" ref="AK261" si="114">IF(AJ262&lt;0,AJ262,0)</f>
        <v>0</v>
      </c>
      <c r="AL261" s="95">
        <f t="shared" ref="AL261" si="115">IF(AK262&lt;0,AK262,0)</f>
        <v>0</v>
      </c>
      <c r="AM261" s="95">
        <f t="shared" ref="AM261" si="116">IF(AL262&lt;0,AL262,0)</f>
        <v>0</v>
      </c>
      <c r="AN261" s="95">
        <f t="shared" ref="AN261" si="117">IF(AM262&lt;0,AM262,0)</f>
        <v>0</v>
      </c>
      <c r="AO261" s="95">
        <f t="shared" ref="AO261" si="118">IF(AN262&lt;0,AN262,0)</f>
        <v>0</v>
      </c>
      <c r="AP261" s="95">
        <f t="shared" ref="AP261" si="119">IF(AO262&lt;0,AO262,0)</f>
        <v>0</v>
      </c>
      <c r="AQ261" s="95">
        <f t="shared" ref="AQ261" si="120">IF(AP262&lt;0,AP262,0)</f>
        <v>0</v>
      </c>
      <c r="AR261" s="95">
        <f t="shared" ref="AR261" si="121">IF(AQ262&lt;0,AQ262,0)</f>
        <v>0</v>
      </c>
      <c r="AS261" s="95">
        <f t="shared" ref="AS261" si="122">IF(AR262&lt;0,AR262,0)</f>
        <v>0</v>
      </c>
      <c r="AT261" s="95">
        <f t="shared" ref="AT261" si="123">IF(AS262&lt;0,AS262,0)</f>
        <v>0</v>
      </c>
      <c r="AU261" s="95">
        <f t="shared" ref="AU261" si="124">IF(AT262&lt;0,AT262,0)</f>
        <v>0</v>
      </c>
      <c r="AV261" s="95">
        <f t="shared" ref="AV261" si="125">IF(AU262&lt;0,AU262,0)</f>
        <v>0</v>
      </c>
      <c r="AW261" s="95">
        <f t="shared" ref="AW261" si="126">IF(AV262&lt;0,AV262,0)</f>
        <v>0</v>
      </c>
    </row>
    <row r="262" spans="2:49" outlineLevel="1" x14ac:dyDescent="0.25">
      <c r="B262" s="90" t="s">
        <v>19</v>
      </c>
      <c r="C262" s="90"/>
      <c r="D262" s="90"/>
      <c r="E262" s="90"/>
      <c r="F262" s="137">
        <f>F260</f>
        <v>103.21487424271996</v>
      </c>
      <c r="G262" s="137">
        <f t="shared" ref="G262:O262" si="127">SUM(G260:G261)</f>
        <v>51.028873942727472</v>
      </c>
      <c r="H262" s="137">
        <f t="shared" si="127"/>
        <v>56.837712737994636</v>
      </c>
      <c r="I262" s="137">
        <f t="shared" si="127"/>
        <v>59.463896472699389</v>
      </c>
      <c r="J262" s="137">
        <f t="shared" si="127"/>
        <v>62.837680994640898</v>
      </c>
      <c r="K262" s="137">
        <f t="shared" si="127"/>
        <v>63.025462179015079</v>
      </c>
      <c r="L262" s="137">
        <f t="shared" si="127"/>
        <v>61.426554974730934</v>
      </c>
      <c r="M262" s="137">
        <f t="shared" si="127"/>
        <v>57.687785805826593</v>
      </c>
      <c r="N262" s="137">
        <f t="shared" si="127"/>
        <v>51.467124989569157</v>
      </c>
      <c r="O262" s="137">
        <f t="shared" si="127"/>
        <v>47.621765307535924</v>
      </c>
      <c r="P262" s="137">
        <f t="shared" ref="P262:AI262" si="128">SUM(P260:P261)</f>
        <v>67.487048656760024</v>
      </c>
      <c r="Q262" s="137">
        <f t="shared" si="128"/>
        <v>64.316557666519998</v>
      </c>
      <c r="R262" s="137">
        <f t="shared" si="128"/>
        <v>59.260504107919971</v>
      </c>
      <c r="S262" s="137">
        <f t="shared" si="128"/>
        <v>57.106630897759963</v>
      </c>
      <c r="T262" s="137">
        <f t="shared" si="128"/>
        <v>53.942308808720028</v>
      </c>
      <c r="U262" s="137">
        <f t="shared" si="128"/>
        <v>80.368273395559982</v>
      </c>
      <c r="V262" s="137">
        <f t="shared" si="128"/>
        <v>108.53631413084</v>
      </c>
      <c r="W262" s="137">
        <f t="shared" si="128"/>
        <v>105.08528768168</v>
      </c>
      <c r="X262" s="137">
        <f t="shared" si="128"/>
        <v>104.79878797471997</v>
      </c>
      <c r="Y262" s="137">
        <f t="shared" si="128"/>
        <v>102.70831923487998</v>
      </c>
      <c r="Z262" s="137">
        <f t="shared" si="128"/>
        <v>99.199293675439975</v>
      </c>
      <c r="AA262" s="137">
        <f t="shared" si="128"/>
        <v>97.755521607560013</v>
      </c>
      <c r="AB262" s="137">
        <f t="shared" si="128"/>
        <v>95.819615630480001</v>
      </c>
      <c r="AC262" s="137">
        <f t="shared" si="128"/>
        <v>93.758860171160023</v>
      </c>
      <c r="AD262" s="137">
        <f t="shared" si="128"/>
        <v>92.96248440139999</v>
      </c>
      <c r="AE262" s="137">
        <f t="shared" si="128"/>
        <v>91.439193494839969</v>
      </c>
      <c r="AF262" s="137">
        <f t="shared" si="128"/>
        <v>88.773939693919999</v>
      </c>
      <c r="AG262" s="137">
        <f t="shared" si="128"/>
        <v>87.714943723159934</v>
      </c>
      <c r="AH262" s="137">
        <f t="shared" si="128"/>
        <v>86.034767112079976</v>
      </c>
      <c r="AI262" s="137">
        <f t="shared" si="128"/>
        <v>84.47202379351998</v>
      </c>
      <c r="AJ262" s="137">
        <f t="shared" ref="AJ262:AW262" si="129">SUM(AJ260:AJ261)</f>
        <v>82.812017704400034</v>
      </c>
      <c r="AK262" s="137">
        <f t="shared" si="129"/>
        <v>0</v>
      </c>
      <c r="AL262" s="137">
        <f t="shared" si="129"/>
        <v>0</v>
      </c>
      <c r="AM262" s="137">
        <f t="shared" si="129"/>
        <v>0</v>
      </c>
      <c r="AN262" s="137">
        <f t="shared" si="129"/>
        <v>0</v>
      </c>
      <c r="AO262" s="137">
        <f t="shared" si="129"/>
        <v>0</v>
      </c>
      <c r="AP262" s="137">
        <f t="shared" si="129"/>
        <v>0</v>
      </c>
      <c r="AQ262" s="137">
        <f t="shared" si="129"/>
        <v>0</v>
      </c>
      <c r="AR262" s="137">
        <f t="shared" si="129"/>
        <v>0</v>
      </c>
      <c r="AS262" s="137">
        <f t="shared" si="129"/>
        <v>0</v>
      </c>
      <c r="AT262" s="137">
        <f t="shared" si="129"/>
        <v>0</v>
      </c>
      <c r="AU262" s="137">
        <f t="shared" si="129"/>
        <v>0</v>
      </c>
      <c r="AV262" s="137">
        <f t="shared" si="129"/>
        <v>0</v>
      </c>
      <c r="AW262" s="137">
        <f t="shared" si="129"/>
        <v>0</v>
      </c>
    </row>
    <row r="263" spans="2:49" outlineLevel="1" x14ac:dyDescent="0.25">
      <c r="B263" s="94" t="s">
        <v>20</v>
      </c>
      <c r="C263" s="94"/>
      <c r="D263" s="94"/>
      <c r="E263" s="94"/>
      <c r="F263" s="96">
        <f t="shared" ref="F263:AW263" si="130">IF(F262&gt;0,$C$87*F262,0)</f>
        <v>26.526222680379028</v>
      </c>
      <c r="G263" s="96">
        <f t="shared" si="130"/>
        <v>13.11442060328096</v>
      </c>
      <c r="H263" s="96">
        <f t="shared" si="130"/>
        <v>14.607292173664622</v>
      </c>
      <c r="I263" s="96">
        <f t="shared" si="130"/>
        <v>15.282221393483743</v>
      </c>
      <c r="J263" s="96">
        <f t="shared" si="130"/>
        <v>16.149284015622712</v>
      </c>
      <c r="K263" s="96">
        <f t="shared" si="130"/>
        <v>16.197543780006875</v>
      </c>
      <c r="L263" s="96">
        <f t="shared" si="130"/>
        <v>15.78662462850585</v>
      </c>
      <c r="M263" s="96">
        <f t="shared" si="130"/>
        <v>14.825760952097434</v>
      </c>
      <c r="N263" s="96">
        <f t="shared" si="130"/>
        <v>13.227051122319274</v>
      </c>
      <c r="O263" s="96">
        <f t="shared" si="130"/>
        <v>12.238793684036732</v>
      </c>
      <c r="P263" s="96">
        <f t="shared" si="130"/>
        <v>17.344171504787326</v>
      </c>
      <c r="Q263" s="96">
        <f t="shared" si="130"/>
        <v>16.52935532029564</v>
      </c>
      <c r="R263" s="96">
        <f t="shared" si="130"/>
        <v>15.229949555735432</v>
      </c>
      <c r="S263" s="96">
        <f t="shared" si="130"/>
        <v>14.67640414072431</v>
      </c>
      <c r="T263" s="96">
        <f t="shared" si="130"/>
        <v>13.863173363841048</v>
      </c>
      <c r="U263" s="96">
        <f t="shared" si="130"/>
        <v>20.654646262658915</v>
      </c>
      <c r="V263" s="96">
        <f t="shared" si="130"/>
        <v>27.893832731625881</v>
      </c>
      <c r="W263" s="96">
        <f t="shared" si="130"/>
        <v>27.006918934191759</v>
      </c>
      <c r="X263" s="96">
        <f t="shared" si="130"/>
        <v>26.933288509503033</v>
      </c>
      <c r="Y263" s="96">
        <f t="shared" si="130"/>
        <v>26.396038043364154</v>
      </c>
      <c r="Z263" s="96">
        <f t="shared" si="130"/>
        <v>25.494218474588074</v>
      </c>
      <c r="AA263" s="96">
        <f t="shared" si="130"/>
        <v>25.123169053142924</v>
      </c>
      <c r="AB263" s="96">
        <f t="shared" si="130"/>
        <v>24.625641217033362</v>
      </c>
      <c r="AC263" s="96">
        <f t="shared" si="130"/>
        <v>24.096027063988128</v>
      </c>
      <c r="AD263" s="96">
        <f t="shared" si="130"/>
        <v>23.891358491159799</v>
      </c>
      <c r="AE263" s="96">
        <f t="shared" si="130"/>
        <v>23.499872728173873</v>
      </c>
      <c r="AF263" s="96">
        <f t="shared" si="130"/>
        <v>22.814902501337439</v>
      </c>
      <c r="AG263" s="96">
        <f t="shared" si="130"/>
        <v>22.542740536852104</v>
      </c>
      <c r="AH263" s="96">
        <f t="shared" si="130"/>
        <v>22.110935147804554</v>
      </c>
      <c r="AI263" s="96">
        <f t="shared" si="130"/>
        <v>21.709310114934635</v>
      </c>
      <c r="AJ263" s="96">
        <f t="shared" si="130"/>
        <v>21.282688550030809</v>
      </c>
      <c r="AK263" s="96">
        <f t="shared" si="130"/>
        <v>0</v>
      </c>
      <c r="AL263" s="96">
        <f t="shared" si="130"/>
        <v>0</v>
      </c>
      <c r="AM263" s="96">
        <f t="shared" si="130"/>
        <v>0</v>
      </c>
      <c r="AN263" s="96">
        <f t="shared" si="130"/>
        <v>0</v>
      </c>
      <c r="AO263" s="96">
        <f t="shared" si="130"/>
        <v>0</v>
      </c>
      <c r="AP263" s="96">
        <f t="shared" si="130"/>
        <v>0</v>
      </c>
      <c r="AQ263" s="96">
        <f t="shared" si="130"/>
        <v>0</v>
      </c>
      <c r="AR263" s="96">
        <f t="shared" si="130"/>
        <v>0</v>
      </c>
      <c r="AS263" s="96">
        <f t="shared" si="130"/>
        <v>0</v>
      </c>
      <c r="AT263" s="96">
        <f t="shared" si="130"/>
        <v>0</v>
      </c>
      <c r="AU263" s="96">
        <f t="shared" si="130"/>
        <v>0</v>
      </c>
      <c r="AV263" s="96">
        <f t="shared" si="130"/>
        <v>0</v>
      </c>
      <c r="AW263" s="96">
        <f t="shared" si="130"/>
        <v>0</v>
      </c>
    </row>
    <row r="264" spans="2:49" outlineLevel="1" x14ac:dyDescent="0.25">
      <c r="B264" s="62" t="s">
        <v>108</v>
      </c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</row>
    <row r="265" spans="2:49" outlineLevel="1" x14ac:dyDescent="0.25">
      <c r="B265" s="99" t="s">
        <v>21</v>
      </c>
      <c r="C265" s="99"/>
      <c r="D265" s="99"/>
      <c r="E265" s="99"/>
      <c r="F265" s="100">
        <f t="shared" ref="F265:AJ265" si="131">F245-F234-F246-F248-F249-F250-F263-F239</f>
        <v>75.997183638895194</v>
      </c>
      <c r="G265" s="100">
        <f t="shared" si="131"/>
        <v>81.469301102833285</v>
      </c>
      <c r="H265" s="100">
        <f t="shared" si="131"/>
        <v>75.967092008129612</v>
      </c>
      <c r="I265" s="100">
        <f t="shared" si="131"/>
        <v>69.194712999190486</v>
      </c>
      <c r="J265" s="100">
        <f t="shared" si="131"/>
        <v>63.801137458611507</v>
      </c>
      <c r="K265" s="100">
        <f t="shared" si="131"/>
        <v>56.758655273307419</v>
      </c>
      <c r="L265" s="100">
        <f t="shared" si="131"/>
        <v>52.184867087128396</v>
      </c>
      <c r="M265" s="100">
        <f t="shared" si="131"/>
        <v>49.406961589696827</v>
      </c>
      <c r="N265" s="100">
        <f t="shared" si="131"/>
        <v>44.887610603034936</v>
      </c>
      <c r="O265" s="100">
        <f t="shared" si="131"/>
        <v>41.927908359277481</v>
      </c>
      <c r="P265" s="100">
        <f t="shared" si="131"/>
        <v>110.7794771519727</v>
      </c>
      <c r="Q265" s="100">
        <f t="shared" si="131"/>
        <v>108.32120234622435</v>
      </c>
      <c r="R265" s="100">
        <f t="shared" si="131"/>
        <v>104.66715455218454</v>
      </c>
      <c r="S265" s="100">
        <f t="shared" si="131"/>
        <v>102.96422675703565</v>
      </c>
      <c r="T265" s="100">
        <f t="shared" si="131"/>
        <v>100.71573544487899</v>
      </c>
      <c r="U265" s="100">
        <f t="shared" si="131"/>
        <v>89.980627132901063</v>
      </c>
      <c r="V265" s="100">
        <f t="shared" si="131"/>
        <v>80.64248139921412</v>
      </c>
      <c r="W265" s="100">
        <f t="shared" si="131"/>
        <v>78.078368747488241</v>
      </c>
      <c r="X265" s="100">
        <f t="shared" si="131"/>
        <v>77.865499465216942</v>
      </c>
      <c r="Y265" s="100">
        <f t="shared" si="131"/>
        <v>76.312281191515822</v>
      </c>
      <c r="Z265" s="100">
        <f t="shared" si="131"/>
        <v>73.705075200851894</v>
      </c>
      <c r="AA265" s="100">
        <f t="shared" si="131"/>
        <v>72.632352554417082</v>
      </c>
      <c r="AB265" s="100">
        <f t="shared" si="131"/>
        <v>71.193974413446639</v>
      </c>
      <c r="AC265" s="100">
        <f t="shared" si="131"/>
        <v>69.662833107171892</v>
      </c>
      <c r="AD265" s="100">
        <f t="shared" si="131"/>
        <v>69.071125910240198</v>
      </c>
      <c r="AE265" s="100">
        <f t="shared" si="131"/>
        <v>67.9393207666661</v>
      </c>
      <c r="AF265" s="100">
        <f t="shared" si="131"/>
        <v>65.959037192582556</v>
      </c>
      <c r="AG265" s="100">
        <f t="shared" si="131"/>
        <v>65.172203186307826</v>
      </c>
      <c r="AH265" s="100">
        <f t="shared" si="131"/>
        <v>63.923831964275422</v>
      </c>
      <c r="AI265" s="100">
        <f t="shared" si="131"/>
        <v>62.762713678585342</v>
      </c>
      <c r="AJ265" s="100">
        <f t="shared" si="131"/>
        <v>61.529329154369222</v>
      </c>
      <c r="AK265" s="100">
        <f t="shared" ref="AK265:AW265" si="132">AK245-AK234-AK246-AK248-AK249-AK250-AK263-AK239</f>
        <v>0</v>
      </c>
      <c r="AL265" s="100">
        <f t="shared" si="132"/>
        <v>0</v>
      </c>
      <c r="AM265" s="100">
        <f t="shared" si="132"/>
        <v>0</v>
      </c>
      <c r="AN265" s="100">
        <f t="shared" si="132"/>
        <v>0</v>
      </c>
      <c r="AO265" s="100">
        <f t="shared" si="132"/>
        <v>0</v>
      </c>
      <c r="AP265" s="100">
        <f t="shared" si="132"/>
        <v>0</v>
      </c>
      <c r="AQ265" s="100">
        <f t="shared" si="132"/>
        <v>0</v>
      </c>
      <c r="AR265" s="100">
        <f t="shared" si="132"/>
        <v>0</v>
      </c>
      <c r="AS265" s="100">
        <f t="shared" si="132"/>
        <v>0</v>
      </c>
      <c r="AT265" s="100">
        <f t="shared" si="132"/>
        <v>0</v>
      </c>
      <c r="AU265" s="100">
        <f t="shared" si="132"/>
        <v>0</v>
      </c>
      <c r="AV265" s="100">
        <f t="shared" si="132"/>
        <v>0</v>
      </c>
      <c r="AW265" s="100">
        <f t="shared" si="132"/>
        <v>0</v>
      </c>
    </row>
    <row r="266" spans="2:49" outlineLevel="1" x14ac:dyDescent="0.25">
      <c r="B266" s="101" t="s">
        <v>22</v>
      </c>
      <c r="C266" s="102">
        <f t="shared" ref="C266:AW266" si="133">1/(1+$C$83)^(C231-$F$231)</f>
        <v>1.2950290000000002</v>
      </c>
      <c r="D266" s="102">
        <f t="shared" si="133"/>
        <v>1.1881000000000002</v>
      </c>
      <c r="E266" s="102">
        <f t="shared" si="133"/>
        <v>1.0900000000000001</v>
      </c>
      <c r="F266" s="102">
        <f t="shared" si="133"/>
        <v>1</v>
      </c>
      <c r="G266" s="102">
        <f t="shared" si="133"/>
        <v>0.9174311926605504</v>
      </c>
      <c r="H266" s="102">
        <f t="shared" si="133"/>
        <v>0.84167999326655996</v>
      </c>
      <c r="I266" s="102">
        <f t="shared" si="133"/>
        <v>0.77218348006106419</v>
      </c>
      <c r="J266" s="102">
        <f t="shared" si="133"/>
        <v>0.7084252110651964</v>
      </c>
      <c r="K266" s="102">
        <f t="shared" si="133"/>
        <v>0.64993138629834524</v>
      </c>
      <c r="L266" s="102">
        <f t="shared" si="133"/>
        <v>0.5962673268792158</v>
      </c>
      <c r="M266" s="102">
        <f t="shared" si="133"/>
        <v>0.54703424484331731</v>
      </c>
      <c r="N266" s="102">
        <f t="shared" si="133"/>
        <v>0.50186627967276809</v>
      </c>
      <c r="O266" s="102">
        <f t="shared" si="133"/>
        <v>0.46042777951630098</v>
      </c>
      <c r="P266" s="102">
        <f t="shared" si="133"/>
        <v>0.42241080689568894</v>
      </c>
      <c r="Q266" s="102">
        <f t="shared" si="133"/>
        <v>0.38753285036301738</v>
      </c>
      <c r="R266" s="102">
        <f t="shared" si="133"/>
        <v>0.35553472510368567</v>
      </c>
      <c r="S266" s="102">
        <f t="shared" si="133"/>
        <v>0.32617864688411524</v>
      </c>
      <c r="T266" s="102">
        <f t="shared" si="133"/>
        <v>0.29924646503129837</v>
      </c>
      <c r="U266" s="102">
        <f t="shared" si="133"/>
        <v>0.27453804131311776</v>
      </c>
      <c r="V266" s="102">
        <f t="shared" si="133"/>
        <v>0.2518697626725851</v>
      </c>
      <c r="W266" s="102">
        <f t="shared" si="133"/>
        <v>0.23107317676383954</v>
      </c>
      <c r="X266" s="102">
        <f t="shared" si="133"/>
        <v>0.21199374015031147</v>
      </c>
      <c r="Y266" s="102">
        <f t="shared" si="133"/>
        <v>0.19448966986267105</v>
      </c>
      <c r="Z266" s="102">
        <f t="shared" si="133"/>
        <v>0.17843088978226704</v>
      </c>
      <c r="AA266" s="102">
        <f t="shared" si="133"/>
        <v>0.16369806402042844</v>
      </c>
      <c r="AB266" s="102">
        <f t="shared" si="133"/>
        <v>0.15018171011048481</v>
      </c>
      <c r="AC266" s="102">
        <f t="shared" si="133"/>
        <v>0.13778138542246313</v>
      </c>
      <c r="AD266" s="102">
        <f t="shared" si="133"/>
        <v>0.12640494075455333</v>
      </c>
      <c r="AE266" s="102">
        <f t="shared" si="133"/>
        <v>0.11596783555463605</v>
      </c>
      <c r="AF266" s="102">
        <f t="shared" si="133"/>
        <v>0.10639250968315234</v>
      </c>
      <c r="AG266" s="102">
        <f t="shared" si="133"/>
        <v>9.7607807048763609E-2</v>
      </c>
      <c r="AH266" s="102">
        <f t="shared" si="133"/>
        <v>8.954844683372809E-2</v>
      </c>
      <c r="AI266" s="102">
        <f t="shared" si="133"/>
        <v>8.2154538379567044E-2</v>
      </c>
      <c r="AJ266" s="102">
        <f t="shared" si="133"/>
        <v>7.5371136128043151E-2</v>
      </c>
      <c r="AK266" s="102">
        <f t="shared" si="133"/>
        <v>6.914783131013133E-2</v>
      </c>
      <c r="AL266" s="102">
        <f t="shared" si="133"/>
        <v>6.3438377348744343E-2</v>
      </c>
      <c r="AM266" s="102">
        <f t="shared" si="133"/>
        <v>5.8200346191508566E-2</v>
      </c>
      <c r="AN266" s="102">
        <f t="shared" si="133"/>
        <v>5.3394813019732625E-2</v>
      </c>
      <c r="AO266" s="102">
        <f t="shared" si="133"/>
        <v>4.8986066990580383E-2</v>
      </c>
      <c r="AP266" s="102">
        <f t="shared" si="133"/>
        <v>4.4941345862917786E-2</v>
      </c>
      <c r="AQ266" s="102">
        <f t="shared" si="133"/>
        <v>4.1230592534786961E-2</v>
      </c>
      <c r="AR266" s="102">
        <f t="shared" si="133"/>
        <v>3.782623168329078E-2</v>
      </c>
      <c r="AS266" s="102">
        <f t="shared" si="133"/>
        <v>3.4702964847055769E-2</v>
      </c>
      <c r="AT266" s="102">
        <f t="shared" si="133"/>
        <v>3.1837582428491523E-2</v>
      </c>
      <c r="AU266" s="102">
        <f t="shared" si="133"/>
        <v>2.9208791218799563E-2</v>
      </c>
      <c r="AV266" s="102">
        <f t="shared" si="133"/>
        <v>2.6797056164036295E-2</v>
      </c>
      <c r="AW266" s="102">
        <f t="shared" si="133"/>
        <v>2.4584455196363569E-2</v>
      </c>
    </row>
    <row r="267" spans="2:49" outlineLevel="1" x14ac:dyDescent="0.25">
      <c r="B267" s="103" t="s">
        <v>23</v>
      </c>
      <c r="C267" s="105"/>
      <c r="D267" s="104"/>
      <c r="E267" s="104"/>
      <c r="F267" s="104">
        <f t="shared" ref="F267:AW267" si="134">IF($C$10="yes",IF(F231&lt;$C$9,0,F265*F266),F265*F266)</f>
        <v>75.997183638895194</v>
      </c>
      <c r="G267" s="104">
        <f t="shared" si="134"/>
        <v>74.74247807599383</v>
      </c>
      <c r="H267" s="104">
        <f t="shared" si="134"/>
        <v>63.939981489882669</v>
      </c>
      <c r="I267" s="104">
        <f t="shared" si="134"/>
        <v>53.431014285541465</v>
      </c>
      <c r="J267" s="104">
        <f t="shared" si="134"/>
        <v>45.198334270316465</v>
      </c>
      <c r="K267" s="104">
        <f t="shared" si="134"/>
        <v>36.889231506210571</v>
      </c>
      <c r="L267" s="104">
        <f t="shared" si="134"/>
        <v>31.116131201589216</v>
      </c>
      <c r="M267" s="104">
        <f t="shared" si="134"/>
        <v>27.027299923222589</v>
      </c>
      <c r="N267" s="104">
        <f t="shared" si="134"/>
        <v>22.527578136745042</v>
      </c>
      <c r="O267" s="104">
        <f t="shared" si="134"/>
        <v>19.304773745625084</v>
      </c>
      <c r="P267" s="104">
        <f t="shared" si="134"/>
        <v>46.794448331247324</v>
      </c>
      <c r="Q267" s="104">
        <f t="shared" si="134"/>
        <v>41.978024299981492</v>
      </c>
      <c r="R267" s="104">
        <f t="shared" si="134"/>
        <v>37.21280802109591</v>
      </c>
      <c r="S267" s="104">
        <f t="shared" si="134"/>
        <v>33.584732161079103</v>
      </c>
      <c r="T267" s="104">
        <f t="shared" si="134"/>
        <v>30.138827804907478</v>
      </c>
      <c r="U267" s="104">
        <f t="shared" si="134"/>
        <v>24.703105129192636</v>
      </c>
      <c r="V267" s="104">
        <f t="shared" si="134"/>
        <v>20.31140265134842</v>
      </c>
      <c r="W267" s="104">
        <f t="shared" si="134"/>
        <v>18.041816703020594</v>
      </c>
      <c r="X267" s="104">
        <f t="shared" si="134"/>
        <v>16.506998460303418</v>
      </c>
      <c r="Y267" s="104">
        <f t="shared" si="134"/>
        <v>14.841950375405233</v>
      </c>
      <c r="Z267" s="104">
        <f t="shared" si="134"/>
        <v>13.151262149556908</v>
      </c>
      <c r="AA267" s="104">
        <f t="shared" si="134"/>
        <v>11.889775498407296</v>
      </c>
      <c r="AB267" s="104">
        <f t="shared" si="134"/>
        <v>10.692032826973517</v>
      </c>
      <c r="AC267" s="104">
        <f t="shared" si="134"/>
        <v>9.5982416579599743</v>
      </c>
      <c r="AD267" s="104">
        <f t="shared" si="134"/>
        <v>8.7309315785342054</v>
      </c>
      <c r="AE267" s="104">
        <f t="shared" si="134"/>
        <v>7.8787759783624045</v>
      </c>
      <c r="AF267" s="104">
        <f t="shared" si="134"/>
        <v>7.0175475032032448</v>
      </c>
      <c r="AG267" s="104">
        <f t="shared" si="134"/>
        <v>6.3613158335519513</v>
      </c>
      <c r="AH267" s="104">
        <f t="shared" si="134"/>
        <v>5.7242798680610862</v>
      </c>
      <c r="AI267" s="104">
        <f t="shared" si="134"/>
        <v>5.1562417697131169</v>
      </c>
      <c r="AJ267" s="104">
        <f t="shared" si="134"/>
        <v>4.6375354435611369</v>
      </c>
      <c r="AK267" s="104">
        <f t="shared" si="134"/>
        <v>0</v>
      </c>
      <c r="AL267" s="104">
        <f t="shared" si="134"/>
        <v>0</v>
      </c>
      <c r="AM267" s="104">
        <f t="shared" si="134"/>
        <v>0</v>
      </c>
      <c r="AN267" s="104">
        <f t="shared" si="134"/>
        <v>0</v>
      </c>
      <c r="AO267" s="104">
        <f t="shared" si="134"/>
        <v>0</v>
      </c>
      <c r="AP267" s="104">
        <f t="shared" si="134"/>
        <v>0</v>
      </c>
      <c r="AQ267" s="104">
        <f t="shared" si="134"/>
        <v>0</v>
      </c>
      <c r="AR267" s="104">
        <f t="shared" si="134"/>
        <v>0</v>
      </c>
      <c r="AS267" s="104">
        <f t="shared" si="134"/>
        <v>0</v>
      </c>
      <c r="AT267" s="104">
        <f t="shared" si="134"/>
        <v>0</v>
      </c>
      <c r="AU267" s="104">
        <f t="shared" si="134"/>
        <v>0</v>
      </c>
      <c r="AV267" s="104">
        <f t="shared" si="134"/>
        <v>0</v>
      </c>
      <c r="AW267" s="104">
        <f t="shared" si="134"/>
        <v>0</v>
      </c>
    </row>
    <row r="268" spans="2:49" outlineLevel="1" x14ac:dyDescent="0.25">
      <c r="B268" s="232" t="s">
        <v>199</v>
      </c>
      <c r="C268" s="233">
        <f>IF($C$10="yes",IF(G231&lt;$C$9,0,(C233+C235+C238+C240+C248+C249+C250)*C266),(C233+C235+C238+C240+C248+C249+C250)*C266)</f>
        <v>448.78162891104017</v>
      </c>
      <c r="D268" s="106">
        <f>IF($C$10="yes",IF(H231&lt;$C$9,0,(D233+D235+D238+D240+D248+D249+D250)*D266),(D233+D235+D238+D240+D248+D249+D250)*D266)</f>
        <v>73.115056188000011</v>
      </c>
      <c r="E268" s="106">
        <f>IF($C$10="yes",IF(I231&lt;$C$9,0,(E233+E235+E238+E240+E248+E249+E250)*E266),(E233+E235+E238+E240+E248+E249+E250)*E266)</f>
        <v>69.560748000000004</v>
      </c>
      <c r="F268" s="106">
        <f t="shared" ref="F268:AW268" si="135">IF($C$10="yes",IF(F231&lt;$C$9,0,(F233+F238)*F266),(F233+F238)*F266)</f>
        <v>0</v>
      </c>
      <c r="G268" s="106">
        <f t="shared" si="135"/>
        <v>0</v>
      </c>
      <c r="H268" s="106">
        <f t="shared" si="135"/>
        <v>0</v>
      </c>
      <c r="I268" s="106">
        <f t="shared" si="135"/>
        <v>0</v>
      </c>
      <c r="J268" s="106">
        <f t="shared" si="135"/>
        <v>0</v>
      </c>
      <c r="K268" s="106">
        <f t="shared" si="135"/>
        <v>0</v>
      </c>
      <c r="L268" s="106">
        <f t="shared" si="135"/>
        <v>0</v>
      </c>
      <c r="M268" s="106">
        <f t="shared" si="135"/>
        <v>0</v>
      </c>
      <c r="N268" s="106">
        <f t="shared" si="135"/>
        <v>0</v>
      </c>
      <c r="O268" s="106">
        <f t="shared" si="135"/>
        <v>0</v>
      </c>
      <c r="P268" s="106">
        <f t="shared" si="135"/>
        <v>0</v>
      </c>
      <c r="Q268" s="106">
        <f t="shared" si="135"/>
        <v>0</v>
      </c>
      <c r="R268" s="106">
        <f t="shared" si="135"/>
        <v>0</v>
      </c>
      <c r="S268" s="106">
        <f t="shared" si="135"/>
        <v>0</v>
      </c>
      <c r="T268" s="106">
        <f t="shared" si="135"/>
        <v>0</v>
      </c>
      <c r="U268" s="106">
        <f t="shared" si="135"/>
        <v>0</v>
      </c>
      <c r="V268" s="106">
        <f t="shared" si="135"/>
        <v>0</v>
      </c>
      <c r="W268" s="106">
        <f t="shared" si="135"/>
        <v>0</v>
      </c>
      <c r="X268" s="106">
        <f t="shared" si="135"/>
        <v>0</v>
      </c>
      <c r="Y268" s="106">
        <f t="shared" si="135"/>
        <v>0</v>
      </c>
      <c r="Z268" s="106">
        <f t="shared" si="135"/>
        <v>0</v>
      </c>
      <c r="AA268" s="106">
        <f t="shared" si="135"/>
        <v>0</v>
      </c>
      <c r="AB268" s="106">
        <f t="shared" si="135"/>
        <v>0</v>
      </c>
      <c r="AC268" s="106">
        <f t="shared" si="135"/>
        <v>0</v>
      </c>
      <c r="AD268" s="106">
        <f t="shared" si="135"/>
        <v>0</v>
      </c>
      <c r="AE268" s="106">
        <f t="shared" si="135"/>
        <v>0</v>
      </c>
      <c r="AF268" s="106">
        <f t="shared" si="135"/>
        <v>0</v>
      </c>
      <c r="AG268" s="106">
        <f t="shared" si="135"/>
        <v>0</v>
      </c>
      <c r="AH268" s="106">
        <f t="shared" si="135"/>
        <v>0</v>
      </c>
      <c r="AI268" s="106">
        <f t="shared" si="135"/>
        <v>0</v>
      </c>
      <c r="AJ268" s="106">
        <f t="shared" si="135"/>
        <v>0</v>
      </c>
      <c r="AK268" s="106">
        <f t="shared" si="135"/>
        <v>0</v>
      </c>
      <c r="AL268" s="106">
        <f t="shared" si="135"/>
        <v>0</v>
      </c>
      <c r="AM268" s="106">
        <f t="shared" si="135"/>
        <v>0</v>
      </c>
      <c r="AN268" s="106">
        <f t="shared" si="135"/>
        <v>0</v>
      </c>
      <c r="AO268" s="106">
        <f t="shared" si="135"/>
        <v>0</v>
      </c>
      <c r="AP268" s="106">
        <f t="shared" si="135"/>
        <v>0</v>
      </c>
      <c r="AQ268" s="106">
        <f t="shared" si="135"/>
        <v>0</v>
      </c>
      <c r="AR268" s="106">
        <f t="shared" si="135"/>
        <v>0</v>
      </c>
      <c r="AS268" s="106">
        <f t="shared" si="135"/>
        <v>0</v>
      </c>
      <c r="AT268" s="106">
        <f t="shared" si="135"/>
        <v>0</v>
      </c>
      <c r="AU268" s="106">
        <f t="shared" si="135"/>
        <v>0</v>
      </c>
      <c r="AV268" s="106">
        <f t="shared" si="135"/>
        <v>0</v>
      </c>
      <c r="AW268" s="106">
        <f t="shared" si="135"/>
        <v>0</v>
      </c>
    </row>
    <row r="269" spans="2:49" x14ac:dyDescent="0.25">
      <c r="B269" s="222" t="s">
        <v>202</v>
      </c>
      <c r="C269" s="67"/>
    </row>
    <row r="270" spans="2:49" x14ac:dyDescent="0.25">
      <c r="B270" s="242" t="s">
        <v>121</v>
      </c>
      <c r="C270" s="243">
        <f>SUM(C267:AW267)-SUM(C268:AW268)</f>
        <v>233.66862722044857</v>
      </c>
    </row>
  </sheetData>
  <mergeCells count="8">
    <mergeCell ref="M44:N44"/>
    <mergeCell ref="O44:P44"/>
    <mergeCell ref="B6:C6"/>
    <mergeCell ref="B81:D81"/>
    <mergeCell ref="B72:C72"/>
    <mergeCell ref="E26:E31"/>
    <mergeCell ref="B11:C11"/>
    <mergeCell ref="B19:C19"/>
  </mergeCells>
  <dataValidations count="2">
    <dataValidation type="whole" allowBlank="1" showInputMessage="1" showErrorMessage="1" errorTitle="Outside of analysis range" error="Selecting a decision year before 2020 or after 2040 may lead to unrealistic analysis conditions." sqref="C9" xr:uid="{00000000-0002-0000-0000-000000000000}">
      <formula1>2020</formula1>
      <formula2>2040</formula2>
    </dataValidation>
    <dataValidation type="list" allowBlank="1" showInputMessage="1" showErrorMessage="1" sqref="C10:C11 C18" xr:uid="{00000000-0002-0000-0000-000001000000}">
      <formula1>"Yes,No"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3" r:id="rId4" name="Button 39">
              <controlPr defaultSize="0" print="0" autoFill="0" autoPict="0" macro="[0]!solve_selected_analysis">
                <anchor moveWithCells="1" sizeWithCells="1">
                  <from>
                    <xdr:col>3</xdr:col>
                    <xdr:colOff>257175</xdr:colOff>
                    <xdr:row>35</xdr:row>
                    <xdr:rowOff>95250</xdr:rowOff>
                  </from>
                  <to>
                    <xdr:col>4</xdr:col>
                    <xdr:colOff>676275</xdr:colOff>
                    <xdr:row>38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2000000}">
          <x14:formula1>
            <xm:f>'Model Descriptions'!$B$20:$B$28</xm:f>
          </x14:formula1>
          <xm:sqref>C12</xm:sqref>
        </x14:dataValidation>
        <x14:dataValidation type="list" allowBlank="1" showInputMessage="1" showErrorMessage="1" xr:uid="{00000000-0002-0000-0000-000003000000}">
          <x14:formula1>
            <xm:f>'Model Descriptions'!$B$9:$B$13</xm:f>
          </x14:formula1>
          <xm:sqref>C8</xm:sqref>
        </x14:dataValidation>
        <x14:dataValidation type="list" allowBlank="1" showInputMessage="1" showErrorMessage="1" xr:uid="{00000000-0002-0000-0000-000004000000}">
          <x14:formula1>
            <xm:f>'Model Descriptions'!$B$59:$B$64</xm:f>
          </x14:formula1>
          <xm:sqref>C22</xm:sqref>
        </x14:dataValidation>
        <x14:dataValidation type="list" allowBlank="1" showInputMessage="1" showErrorMessage="1" xr:uid="{00000000-0002-0000-0000-000005000000}">
          <x14:formula1>
            <xm:f>'Model Descriptions'!$B$48:$B$53</xm:f>
          </x14:formula1>
          <xm:sqref>C20</xm:sqref>
        </x14:dataValidation>
        <x14:dataValidation type="list" allowBlank="1" showInputMessage="1" showErrorMessage="1" xr:uid="{00000000-0002-0000-0000-000006000000}">
          <x14:formula1>
            <xm:f>'Model Descriptions'!$B$66:$B$67</xm:f>
          </x14:formula1>
          <xm:sqref>C23</xm:sqref>
        </x14:dataValidation>
        <x14:dataValidation type="list" allowBlank="1" showInputMessage="1" showErrorMessage="1" xr:uid="{00000000-0002-0000-0000-000007000000}">
          <x14:formula1>
            <xm:f>'Model Descriptions'!$B$55:$B$57</xm:f>
          </x14:formula1>
          <xm:sqref>C21</xm:sqref>
        </x14:dataValidation>
        <x14:dataValidation type="list" allowBlank="1" showInputMessage="1" showErrorMessage="1" xr:uid="{00000000-0002-0000-0000-000008000000}">
          <x14:formula1>
            <xm:f>'Model Descriptions'!$B$69:$B$70</xm:f>
          </x14:formula1>
          <xm:sqref>C24</xm:sqref>
        </x14:dataValidation>
        <x14:dataValidation type="list" allowBlank="1" showInputMessage="1" showErrorMessage="1" xr:uid="{00000000-0002-0000-0000-000009000000}">
          <x14:formula1>
            <xm:f>'Model Descriptions'!$B$3:$B$7</xm:f>
          </x14:formula1>
          <xm:sqref>C7</xm:sqref>
        </x14:dataValidation>
        <x14:dataValidation type="list" allowBlank="1" showInputMessage="1" showErrorMessage="1" xr:uid="{00000000-0002-0000-0000-00000A000000}">
          <x14:formula1>
            <xm:f>'Model Descriptions'!$B$42:$B$43</xm:f>
          </x14:formula1>
          <xm:sqref>C17</xm:sqref>
        </x14:dataValidation>
        <x14:dataValidation type="list" allowBlank="1" showInputMessage="1" showErrorMessage="1" xr:uid="{00000000-0002-0000-0000-00000B000000}">
          <x14:formula1>
            <xm:f>'Model Descriptions'!$B$33:$B$34</xm:f>
          </x14:formula1>
          <xm:sqref>C14</xm:sqref>
        </x14:dataValidation>
        <x14:dataValidation type="list" allowBlank="1" showInputMessage="1" showErrorMessage="1" xr:uid="{00000000-0002-0000-0000-00000C000000}">
          <x14:formula1>
            <xm:f>'Model Descriptions'!$B$36:$B$37</xm:f>
          </x14:formula1>
          <xm:sqref>C15</xm:sqref>
        </x14:dataValidation>
        <x14:dataValidation type="list" allowBlank="1" showInputMessage="1" showErrorMessage="1" xr:uid="{00000000-0002-0000-0000-00000D000000}">
          <x14:formula1>
            <xm:f>'Model Descriptions'!$B$39:$B$40</xm:f>
          </x14:formula1>
          <xm:sqref>C16</xm:sqref>
        </x14:dataValidation>
        <x14:dataValidation type="list" allowBlank="1" showInputMessage="1" showErrorMessage="1" xr:uid="{00000000-0002-0000-0000-00000E000000}">
          <x14:formula1>
            <xm:f>'Model Descriptions'!$B$45:$B$46</xm:f>
          </x14:formula1>
          <xm:sqref>C19 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L80"/>
  <sheetViews>
    <sheetView topLeftCell="A16" zoomScale="70" zoomScaleNormal="70" workbookViewId="0">
      <selection activeCell="H41" sqref="H41:R44"/>
    </sheetView>
  </sheetViews>
  <sheetFormatPr defaultRowHeight="15" x14ac:dyDescent="0.25"/>
  <cols>
    <col min="1" max="4" width="14.85546875" customWidth="1"/>
    <col min="5" max="5" width="12.5703125" bestFit="1" customWidth="1"/>
    <col min="6" max="6" width="19.140625" bestFit="1" customWidth="1"/>
    <col min="7" max="7" width="10.140625" bestFit="1" customWidth="1"/>
    <col min="8" max="8" width="10.5703125" bestFit="1" customWidth="1"/>
    <col min="9" max="9" width="10.140625" bestFit="1" customWidth="1"/>
    <col min="10" max="10" width="10.5703125" bestFit="1" customWidth="1"/>
    <col min="11" max="12" width="10.140625" bestFit="1" customWidth="1"/>
    <col min="13" max="13" width="10.5703125" bestFit="1" customWidth="1"/>
    <col min="14" max="14" width="11.5703125" bestFit="1" customWidth="1"/>
    <col min="15" max="19" width="12" bestFit="1" customWidth="1"/>
    <col min="20" max="20" width="11.5703125" bestFit="1" customWidth="1"/>
    <col min="21" max="23" width="12" bestFit="1" customWidth="1"/>
    <col min="24" max="25" width="11.5703125" bestFit="1" customWidth="1"/>
    <col min="26" max="27" width="12" bestFit="1" customWidth="1"/>
    <col min="28" max="28" width="12.42578125" bestFit="1" customWidth="1"/>
    <col min="29" max="29" width="12" bestFit="1" customWidth="1"/>
    <col min="30" max="39" width="12.42578125" bestFit="1" customWidth="1"/>
  </cols>
  <sheetData>
    <row r="1" spans="1:40" x14ac:dyDescent="0.25">
      <c r="A1" s="330"/>
      <c r="B1" s="330"/>
      <c r="C1" s="330"/>
    </row>
    <row r="2" spans="1:40" x14ac:dyDescent="0.25">
      <c r="A2" s="330"/>
      <c r="B2" s="330"/>
      <c r="C2" s="330"/>
    </row>
    <row r="3" spans="1:40" s="330" customFormat="1" x14ac:dyDescent="0.25"/>
    <row r="4" spans="1:40" ht="15.75" thickBot="1" x14ac:dyDescent="0.3"/>
    <row r="5" spans="1:40" x14ac:dyDescent="0.25">
      <c r="D5" s="317"/>
      <c r="E5" s="318"/>
      <c r="F5" s="318"/>
      <c r="G5" s="318"/>
      <c r="H5" s="318"/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21"/>
    </row>
    <row r="6" spans="1:40" x14ac:dyDescent="0.25">
      <c r="B6" s="330"/>
      <c r="C6" s="330"/>
      <c r="D6" s="264"/>
      <c r="E6" s="15"/>
      <c r="F6" s="15">
        <v>2017</v>
      </c>
      <c r="G6" s="15">
        <v>2018</v>
      </c>
      <c r="H6" s="15">
        <v>2019</v>
      </c>
      <c r="I6" s="15">
        <v>2020</v>
      </c>
      <c r="J6" s="15">
        <v>2021</v>
      </c>
      <c r="K6" s="15">
        <v>2022</v>
      </c>
      <c r="L6" s="15">
        <v>2023</v>
      </c>
      <c r="M6" s="15">
        <v>2024</v>
      </c>
      <c r="N6" s="15">
        <v>2025</v>
      </c>
      <c r="O6" s="15">
        <v>2026</v>
      </c>
      <c r="P6" s="15">
        <v>2027</v>
      </c>
      <c r="Q6" s="15">
        <v>2028</v>
      </c>
      <c r="R6" s="15">
        <v>2029</v>
      </c>
      <c r="S6" s="15">
        <v>2030</v>
      </c>
      <c r="T6" s="15">
        <v>2031</v>
      </c>
      <c r="U6" s="15">
        <v>2032</v>
      </c>
      <c r="V6" s="15">
        <v>2033</v>
      </c>
      <c r="W6" s="15">
        <v>2034</v>
      </c>
      <c r="X6" s="15">
        <v>2035</v>
      </c>
      <c r="Y6" s="15">
        <v>2036</v>
      </c>
      <c r="Z6" s="15">
        <v>2037</v>
      </c>
      <c r="AA6" s="15">
        <v>2038</v>
      </c>
      <c r="AB6" s="15">
        <v>2039</v>
      </c>
      <c r="AC6" s="15">
        <v>2040</v>
      </c>
      <c r="AD6" s="15">
        <v>2041</v>
      </c>
      <c r="AE6" s="15">
        <v>2042</v>
      </c>
      <c r="AF6" s="15">
        <v>2043</v>
      </c>
      <c r="AG6" s="15">
        <v>2044</v>
      </c>
      <c r="AH6" s="15">
        <v>2045</v>
      </c>
      <c r="AI6" s="15">
        <v>2046</v>
      </c>
      <c r="AJ6" s="15">
        <v>2047</v>
      </c>
      <c r="AK6" s="15">
        <v>2048</v>
      </c>
      <c r="AL6" s="15">
        <v>2049</v>
      </c>
      <c r="AM6" s="15">
        <v>2050</v>
      </c>
      <c r="AN6" s="265"/>
    </row>
    <row r="7" spans="1:40" x14ac:dyDescent="0.25">
      <c r="B7" s="330"/>
      <c r="C7" s="330"/>
      <c r="D7" s="264"/>
      <c r="E7" s="15" t="s">
        <v>51</v>
      </c>
      <c r="F7" s="323">
        <v>-448.78</v>
      </c>
      <c r="G7" s="323">
        <v>-521.9</v>
      </c>
      <c r="H7" s="323">
        <v>-591.46</v>
      </c>
      <c r="I7" s="323">
        <v>-514.9</v>
      </c>
      <c r="J7" s="323">
        <v>-458.4</v>
      </c>
      <c r="K7" s="323">
        <v>-403.8</v>
      </c>
      <c r="L7" s="323">
        <v>-360.55</v>
      </c>
      <c r="M7" s="323">
        <v>-325.01</v>
      </c>
      <c r="N7" s="323">
        <v>-296.66000000000003</v>
      </c>
      <c r="O7" s="323">
        <v>-272</v>
      </c>
      <c r="P7" s="323">
        <v>-251.43</v>
      </c>
      <c r="Q7" s="323">
        <v>-235.76</v>
      </c>
      <c r="R7" s="323">
        <v>-223.79</v>
      </c>
      <c r="S7" s="323">
        <v>-185.56</v>
      </c>
      <c r="T7" s="323">
        <v>-151.82</v>
      </c>
      <c r="U7" s="323">
        <v>-122.65</v>
      </c>
      <c r="V7" s="323">
        <v>-96.78</v>
      </c>
      <c r="W7" s="323">
        <v>-74.39</v>
      </c>
      <c r="X7" s="323">
        <v>-57.29</v>
      </c>
      <c r="Y7" s="323">
        <v>-45.14</v>
      </c>
      <c r="Z7" s="323">
        <v>-35.229999999999997</v>
      </c>
      <c r="AA7" s="323">
        <v>-27.09</v>
      </c>
      <c r="AB7" s="323">
        <v>-20.36</v>
      </c>
      <c r="AC7" s="323">
        <v>-14.93</v>
      </c>
      <c r="AD7" s="323">
        <v>-10.78</v>
      </c>
      <c r="AE7" s="323">
        <v>-7.81</v>
      </c>
      <c r="AF7" s="323">
        <v>-5.69</v>
      </c>
      <c r="AG7" s="323">
        <v>-4.49</v>
      </c>
      <c r="AH7" s="323">
        <v>-4.05</v>
      </c>
      <c r="AI7" s="323">
        <v>-4.37</v>
      </c>
      <c r="AJ7" s="323">
        <v>-5.37</v>
      </c>
      <c r="AK7" s="323">
        <v>-6.98</v>
      </c>
      <c r="AL7" s="323">
        <v>-9.1999999999999993</v>
      </c>
      <c r="AM7" s="323">
        <v>-11.89</v>
      </c>
      <c r="AN7" s="265"/>
    </row>
    <row r="8" spans="1:40" x14ac:dyDescent="0.25">
      <c r="B8" s="330"/>
      <c r="C8" s="330"/>
      <c r="D8" s="264"/>
      <c r="E8" s="15" t="s">
        <v>69</v>
      </c>
      <c r="F8" s="323">
        <v>-448.78</v>
      </c>
      <c r="G8" s="323">
        <v>-521.9</v>
      </c>
      <c r="H8" s="323">
        <v>-591.46</v>
      </c>
      <c r="I8" s="323">
        <v>-514.9</v>
      </c>
      <c r="J8" s="323">
        <v>-458.4</v>
      </c>
      <c r="K8" s="323">
        <v>-403.8</v>
      </c>
      <c r="L8" s="323">
        <v>-360.55</v>
      </c>
      <c r="M8" s="323">
        <v>-325.01</v>
      </c>
      <c r="N8" s="323">
        <v>-803.81</v>
      </c>
      <c r="O8" s="323">
        <v>-894.13</v>
      </c>
      <c r="P8" s="323">
        <v>-979.9</v>
      </c>
      <c r="Q8" s="323">
        <v>-1063.04</v>
      </c>
      <c r="R8" s="323">
        <v>-1142.58</v>
      </c>
      <c r="S8" s="323">
        <v>-1186.92</v>
      </c>
      <c r="T8" s="323">
        <v>-1229.52</v>
      </c>
      <c r="U8" s="323">
        <v>-1271.28</v>
      </c>
      <c r="V8" s="323">
        <v>-1310.97</v>
      </c>
      <c r="W8" s="323">
        <v>-1349.45</v>
      </c>
      <c r="X8" s="323">
        <v>-1386.62</v>
      </c>
      <c r="Y8" s="323">
        <v>-1389.98</v>
      </c>
      <c r="Z8" s="323">
        <v>-1394.91</v>
      </c>
      <c r="AA8" s="323">
        <v>-1400.9</v>
      </c>
      <c r="AB8" s="323">
        <v>-1407.56</v>
      </c>
      <c r="AC8" s="323">
        <v>-1414.85</v>
      </c>
      <c r="AD8" s="323">
        <v>-1422.79</v>
      </c>
      <c r="AE8" s="323">
        <v>-1431.37</v>
      </c>
      <c r="AF8" s="323">
        <v>-1440.2</v>
      </c>
      <c r="AG8" s="323">
        <v>-1449.44</v>
      </c>
      <c r="AH8" s="323">
        <v>-1458.94</v>
      </c>
      <c r="AI8" s="323">
        <v>-1468.68</v>
      </c>
      <c r="AJ8" s="323">
        <v>-1478.46</v>
      </c>
      <c r="AK8" s="323">
        <v>-1488.28</v>
      </c>
      <c r="AL8" s="323">
        <v>-1498.14</v>
      </c>
      <c r="AM8" s="323">
        <v>-1508</v>
      </c>
      <c r="AN8" s="265"/>
    </row>
    <row r="9" spans="1:40" x14ac:dyDescent="0.25">
      <c r="B9" s="330"/>
      <c r="C9" s="330"/>
      <c r="D9" s="264"/>
      <c r="E9" s="15" t="s">
        <v>66</v>
      </c>
      <c r="F9" s="323">
        <v>-448.78</v>
      </c>
      <c r="G9" s="323">
        <v>-521.9</v>
      </c>
      <c r="H9" s="323">
        <v>-591.46</v>
      </c>
      <c r="I9" s="323">
        <v>-514.9</v>
      </c>
      <c r="J9" s="323">
        <v>-458.4</v>
      </c>
      <c r="K9" s="323">
        <v>-403.8</v>
      </c>
      <c r="L9" s="323">
        <v>-360.55</v>
      </c>
      <c r="M9" s="323">
        <v>-325.01</v>
      </c>
      <c r="N9" s="323">
        <v>-373.61</v>
      </c>
      <c r="O9" s="323">
        <v>-418.19</v>
      </c>
      <c r="P9" s="323">
        <v>-459.09</v>
      </c>
      <c r="Q9" s="323">
        <v>-496.61</v>
      </c>
      <c r="R9" s="323">
        <v>-531.04</v>
      </c>
      <c r="S9" s="323">
        <v>-531.04</v>
      </c>
      <c r="T9" s="323">
        <v>-531.04</v>
      </c>
      <c r="U9" s="323">
        <v>-531.04</v>
      </c>
      <c r="V9" s="323">
        <v>-531.04</v>
      </c>
      <c r="W9" s="323">
        <v>-531.04</v>
      </c>
      <c r="X9" s="323">
        <v>-531.04</v>
      </c>
      <c r="Y9" s="323">
        <v>-531.04</v>
      </c>
      <c r="Z9" s="323">
        <v>-531.04</v>
      </c>
      <c r="AA9" s="323">
        <v>-531.04</v>
      </c>
      <c r="AB9" s="323">
        <v>-531.04</v>
      </c>
      <c r="AC9" s="323">
        <v>-531.04</v>
      </c>
      <c r="AD9" s="323">
        <v>-531.04</v>
      </c>
      <c r="AE9" s="323">
        <v>-531.04</v>
      </c>
      <c r="AF9" s="323">
        <v>-531.04</v>
      </c>
      <c r="AG9" s="323">
        <v>-531.04</v>
      </c>
      <c r="AH9" s="323">
        <v>-531.04</v>
      </c>
      <c r="AI9" s="323">
        <v>-531.04</v>
      </c>
      <c r="AJ9" s="323">
        <v>-531.04</v>
      </c>
      <c r="AK9" s="323">
        <v>-531.04</v>
      </c>
      <c r="AL9" s="323">
        <v>-531.04</v>
      </c>
      <c r="AM9" s="323">
        <v>-531.04</v>
      </c>
      <c r="AN9" s="265"/>
    </row>
    <row r="10" spans="1:40" x14ac:dyDescent="0.25">
      <c r="B10" s="330"/>
      <c r="C10" s="330"/>
      <c r="D10" s="264"/>
      <c r="E10" s="15" t="s">
        <v>49</v>
      </c>
      <c r="F10" s="323">
        <v>-448.78</v>
      </c>
      <c r="G10" s="323">
        <v>-521.9</v>
      </c>
      <c r="H10" s="323">
        <v>-591.46</v>
      </c>
      <c r="I10" s="323">
        <v>-514.9</v>
      </c>
      <c r="J10" s="323">
        <v>-458.4</v>
      </c>
      <c r="K10" s="323">
        <v>-403.8</v>
      </c>
      <c r="L10" s="323">
        <v>-360.55</v>
      </c>
      <c r="M10" s="323">
        <v>-325.01</v>
      </c>
      <c r="N10" s="323">
        <v>-403.64</v>
      </c>
      <c r="O10" s="323">
        <v>-474.92</v>
      </c>
      <c r="P10" s="323">
        <v>-543.07000000000005</v>
      </c>
      <c r="Q10" s="323">
        <v>-609.86</v>
      </c>
      <c r="R10" s="323">
        <v>-674.89</v>
      </c>
      <c r="S10" s="323">
        <v>-705.62</v>
      </c>
      <c r="T10" s="323">
        <v>-735.41</v>
      </c>
      <c r="U10" s="323">
        <v>-764.23</v>
      </c>
      <c r="V10" s="323">
        <v>-791.22</v>
      </c>
      <c r="W10" s="323">
        <v>-817.1</v>
      </c>
      <c r="X10" s="323">
        <v>-842.36</v>
      </c>
      <c r="Y10" s="323">
        <v>-867.5</v>
      </c>
      <c r="Z10" s="323">
        <v>-891.66</v>
      </c>
      <c r="AA10" s="323">
        <v>-914.49</v>
      </c>
      <c r="AB10" s="323">
        <v>-935.88</v>
      </c>
      <c r="AC10" s="323">
        <v>-955.97</v>
      </c>
      <c r="AD10" s="323">
        <v>-975.12</v>
      </c>
      <c r="AE10" s="323">
        <v>-993.34</v>
      </c>
      <c r="AF10" s="323">
        <v>-1010.45</v>
      </c>
      <c r="AG10" s="323">
        <v>-1026.6300000000001</v>
      </c>
      <c r="AH10" s="323">
        <v>-1041.94</v>
      </c>
      <c r="AI10" s="323">
        <v>-1056.3399999999999</v>
      </c>
      <c r="AJ10" s="323">
        <v>-1069.75</v>
      </c>
      <c r="AK10" s="323">
        <v>-1082.29</v>
      </c>
      <c r="AL10" s="323">
        <v>-1094.06</v>
      </c>
      <c r="AM10" s="323">
        <v>-1105.02</v>
      </c>
      <c r="AN10" s="265"/>
    </row>
    <row r="11" spans="1:40" x14ac:dyDescent="0.25">
      <c r="B11" s="330"/>
      <c r="C11" s="330"/>
      <c r="D11" s="264"/>
      <c r="E11" s="15" t="s">
        <v>50</v>
      </c>
      <c r="F11" s="323">
        <v>-448.78</v>
      </c>
      <c r="G11" s="323">
        <v>-521.9</v>
      </c>
      <c r="H11" s="323">
        <v>-591.46</v>
      </c>
      <c r="I11" s="323">
        <v>-514.9</v>
      </c>
      <c r="J11" s="323">
        <v>-458.4</v>
      </c>
      <c r="K11" s="323">
        <v>-403.8</v>
      </c>
      <c r="L11" s="323">
        <v>-360.55</v>
      </c>
      <c r="M11" s="323">
        <v>-325.01</v>
      </c>
      <c r="N11" s="323">
        <v>-917.25</v>
      </c>
      <c r="O11" s="323">
        <v>-1108.43</v>
      </c>
      <c r="P11" s="323">
        <v>-1285.81</v>
      </c>
      <c r="Q11" s="323">
        <v>-1452.07</v>
      </c>
      <c r="R11" s="323">
        <v>-1607.64</v>
      </c>
      <c r="S11" s="323">
        <v>-1720.75</v>
      </c>
      <c r="T11" s="323">
        <v>-1825.46</v>
      </c>
      <c r="U11" s="323">
        <v>-1922.38</v>
      </c>
      <c r="V11" s="323">
        <v>-2011.23</v>
      </c>
      <c r="W11" s="323">
        <v>-2093.2600000000002</v>
      </c>
      <c r="X11" s="323">
        <v>-2169.48</v>
      </c>
      <c r="Y11" s="323">
        <v>-2207.83</v>
      </c>
      <c r="Z11" s="323">
        <v>-2243.59</v>
      </c>
      <c r="AA11" s="323">
        <v>-2276.5500000000002</v>
      </c>
      <c r="AB11" s="323">
        <v>-2306.7399999999998</v>
      </c>
      <c r="AC11" s="323">
        <v>-2334.4299999999998</v>
      </c>
      <c r="AD11" s="323">
        <v>-2360.11</v>
      </c>
      <c r="AE11" s="323">
        <v>-2383.87</v>
      </c>
      <c r="AF11" s="323">
        <v>-2405.64</v>
      </c>
      <c r="AG11" s="323">
        <v>-2425.69</v>
      </c>
      <c r="AH11" s="323">
        <v>-2444.16</v>
      </c>
      <c r="AI11" s="323">
        <v>-2461.08</v>
      </c>
      <c r="AJ11" s="323">
        <v>-2476.4499999999998</v>
      </c>
      <c r="AK11" s="323">
        <v>-2490.4299999999998</v>
      </c>
      <c r="AL11" s="323">
        <v>-2503.1799999999998</v>
      </c>
      <c r="AM11" s="323">
        <v>-2514.7199999999998</v>
      </c>
      <c r="AN11" s="265"/>
    </row>
    <row r="12" spans="1:40" x14ac:dyDescent="0.25">
      <c r="B12" s="330"/>
      <c r="C12" s="330"/>
      <c r="D12" s="264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265"/>
    </row>
    <row r="13" spans="1:40" x14ac:dyDescent="0.25">
      <c r="B13" s="330"/>
      <c r="C13" s="330"/>
      <c r="D13" s="264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265"/>
    </row>
    <row r="14" spans="1:40" x14ac:dyDescent="0.25">
      <c r="B14" s="330"/>
      <c r="C14" s="330"/>
      <c r="D14" s="264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265"/>
    </row>
    <row r="15" spans="1:40" x14ac:dyDescent="0.25">
      <c r="B15" s="330"/>
      <c r="C15" s="330"/>
      <c r="D15" s="264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265"/>
    </row>
    <row r="16" spans="1:40" x14ac:dyDescent="0.25">
      <c r="D16" s="264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265"/>
    </row>
    <row r="17" spans="2:64" x14ac:dyDescent="0.25">
      <c r="D17" s="264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265"/>
    </row>
    <row r="18" spans="2:64" x14ac:dyDescent="0.25">
      <c r="D18" s="264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265"/>
    </row>
    <row r="19" spans="2:64" x14ac:dyDescent="0.25">
      <c r="B19" s="18"/>
      <c r="C19" s="63"/>
      <c r="D19" s="264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265"/>
    </row>
    <row r="20" spans="2:64" x14ac:dyDescent="0.25">
      <c r="B20" s="18"/>
      <c r="D20" s="264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265"/>
    </row>
    <row r="21" spans="2:64" x14ac:dyDescent="0.25">
      <c r="B21" s="18"/>
      <c r="D21" s="264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265"/>
    </row>
    <row r="22" spans="2:64" x14ac:dyDescent="0.25">
      <c r="D22" s="264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265"/>
    </row>
    <row r="23" spans="2:64" x14ac:dyDescent="0.25">
      <c r="D23" s="264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265"/>
    </row>
    <row r="24" spans="2:64" x14ac:dyDescent="0.25">
      <c r="D24" s="264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265"/>
    </row>
    <row r="25" spans="2:64" x14ac:dyDescent="0.25">
      <c r="D25" s="264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265"/>
    </row>
    <row r="26" spans="2:64" x14ac:dyDescent="0.25">
      <c r="D26" s="264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265"/>
    </row>
    <row r="27" spans="2:64" x14ac:dyDescent="0.25">
      <c r="D27" s="264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265"/>
    </row>
    <row r="28" spans="2:64" ht="15.75" thickBot="1" x14ac:dyDescent="0.3">
      <c r="D28" s="266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3"/>
    </row>
    <row r="29" spans="2:64" ht="15.75" thickBot="1" x14ac:dyDescent="0.3"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</row>
    <row r="30" spans="2:64" x14ac:dyDescent="0.25">
      <c r="D30" s="317"/>
      <c r="E30" s="318"/>
      <c r="F30" s="318"/>
      <c r="G30" s="318"/>
      <c r="H30" s="318"/>
      <c r="I30" s="318"/>
      <c r="J30" s="318"/>
      <c r="K30" s="318"/>
      <c r="L30" s="318"/>
      <c r="M30" s="321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</row>
    <row r="31" spans="2:64" x14ac:dyDescent="0.25">
      <c r="D31" s="264"/>
      <c r="E31" s="15"/>
      <c r="F31" s="15"/>
      <c r="G31" s="15"/>
      <c r="H31" s="15"/>
      <c r="I31" s="15"/>
      <c r="J31" s="15"/>
      <c r="K31" s="15"/>
      <c r="L31" s="15"/>
      <c r="M31" s="26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</row>
    <row r="32" spans="2:64" x14ac:dyDescent="0.25">
      <c r="D32" s="264"/>
      <c r="E32" s="15"/>
      <c r="F32" s="354" t="s">
        <v>348</v>
      </c>
      <c r="G32" s="354"/>
      <c r="H32" s="354"/>
      <c r="I32" s="314"/>
      <c r="J32" s="314"/>
      <c r="K32" s="314"/>
      <c r="L32" s="314"/>
      <c r="M32" s="26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</row>
    <row r="33" spans="3:64" x14ac:dyDescent="0.25">
      <c r="D33" s="264"/>
      <c r="E33" s="15"/>
      <c r="F33" s="319" t="s">
        <v>290</v>
      </c>
      <c r="G33" s="320">
        <v>4.993654374793743</v>
      </c>
      <c r="H33" s="48" t="s">
        <v>103</v>
      </c>
      <c r="I33" s="15"/>
      <c r="J33" s="15"/>
      <c r="K33" s="15"/>
      <c r="L33" s="15"/>
      <c r="M33" s="26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</row>
    <row r="34" spans="3:64" ht="15.75" thickBot="1" x14ac:dyDescent="0.3">
      <c r="D34" s="266"/>
      <c r="E34" s="262"/>
      <c r="F34" s="262"/>
      <c r="G34" s="262"/>
      <c r="H34" s="262"/>
      <c r="I34" s="262"/>
      <c r="J34" s="262"/>
      <c r="K34" s="262"/>
      <c r="L34" s="262"/>
      <c r="M34" s="263"/>
      <c r="N34" s="15"/>
      <c r="O34" s="15"/>
      <c r="P34" s="15"/>
      <c r="Q34" s="15"/>
      <c r="R34" s="15"/>
      <c r="S34" s="271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</row>
    <row r="35" spans="3:64" ht="15.75" thickBot="1" x14ac:dyDescent="0.3">
      <c r="AH35" s="15"/>
      <c r="AI35" s="15"/>
      <c r="AJ35" s="15"/>
      <c r="AK35" s="355"/>
      <c r="AL35" s="355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15"/>
      <c r="AY35" s="355"/>
      <c r="AZ35" s="355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15"/>
    </row>
    <row r="36" spans="3:64" x14ac:dyDescent="0.25">
      <c r="D36" s="317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8"/>
      <c r="V36" s="318"/>
      <c r="W36" s="321"/>
      <c r="AJ36" s="15"/>
      <c r="AK36" s="355"/>
      <c r="AL36" s="355"/>
      <c r="AM36" s="271"/>
      <c r="AN36" s="271"/>
      <c r="AO36" s="271"/>
      <c r="AP36" s="272"/>
      <c r="AQ36" s="272"/>
      <c r="AR36" s="272"/>
      <c r="AS36" s="272"/>
      <c r="AT36" s="272"/>
      <c r="AU36" s="272"/>
      <c r="AV36" s="272"/>
      <c r="AW36" s="272"/>
      <c r="AX36" s="15"/>
      <c r="AY36" s="355"/>
      <c r="AZ36" s="355"/>
      <c r="BA36" s="271"/>
      <c r="BB36" s="271"/>
      <c r="BC36" s="271"/>
      <c r="BD36" s="272"/>
      <c r="BE36" s="272"/>
      <c r="BF36" s="272"/>
      <c r="BG36" s="272"/>
      <c r="BH36" s="272"/>
      <c r="BI36" s="272"/>
      <c r="BJ36" s="272"/>
      <c r="BK36" s="272"/>
      <c r="BL36" s="15"/>
    </row>
    <row r="37" spans="3:64" x14ac:dyDescent="0.25">
      <c r="D37" s="264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265"/>
      <c r="AJ37" s="15"/>
      <c r="AK37" s="315"/>
      <c r="AL37" s="315"/>
      <c r="AM37" s="271"/>
      <c r="AN37" s="271"/>
      <c r="AO37" s="271"/>
      <c r="AP37" s="272"/>
      <c r="AQ37" s="272"/>
      <c r="AR37" s="272"/>
      <c r="AS37" s="272"/>
      <c r="AT37" s="272"/>
      <c r="AU37" s="272"/>
      <c r="AV37" s="272"/>
      <c r="AW37" s="272"/>
      <c r="AX37" s="15"/>
      <c r="AY37" s="315"/>
      <c r="AZ37" s="315"/>
      <c r="BA37" s="271"/>
      <c r="BB37" s="271"/>
      <c r="BC37" s="271"/>
      <c r="BD37" s="272"/>
      <c r="BE37" s="272"/>
      <c r="BF37" s="272"/>
      <c r="BG37" s="272"/>
      <c r="BH37" s="272"/>
      <c r="BI37" s="272"/>
      <c r="BJ37" s="272"/>
      <c r="BK37" s="272"/>
      <c r="BL37" s="15"/>
    </row>
    <row r="38" spans="3:64" x14ac:dyDescent="0.25">
      <c r="C38" s="15"/>
      <c r="D38" s="264"/>
      <c r="E38" s="314"/>
      <c r="F38" s="314"/>
      <c r="G38" s="314"/>
      <c r="H38" s="314"/>
      <c r="I38" s="314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15"/>
      <c r="U38" s="15"/>
      <c r="V38" s="15"/>
      <c r="W38" s="265"/>
      <c r="AC38" s="271"/>
      <c r="AD38" s="15"/>
      <c r="AE38" s="15"/>
      <c r="AF38" s="15"/>
      <c r="AJ38" s="15"/>
      <c r="AK38" s="355"/>
      <c r="AL38" s="355"/>
      <c r="AM38" s="271"/>
      <c r="AN38" s="271"/>
      <c r="AO38" s="271"/>
      <c r="AP38" s="272"/>
      <c r="AQ38" s="272"/>
      <c r="AR38" s="272"/>
      <c r="AS38" s="272"/>
      <c r="AT38" s="272"/>
      <c r="AU38" s="272"/>
      <c r="AV38" s="272"/>
      <c r="AW38" s="272"/>
      <c r="AX38" s="15"/>
      <c r="AY38" s="355"/>
      <c r="AZ38" s="355"/>
      <c r="BA38" s="271"/>
      <c r="BB38" s="271"/>
      <c r="BC38" s="271"/>
      <c r="BD38" s="272"/>
      <c r="BE38" s="272"/>
      <c r="BF38" s="272"/>
      <c r="BG38" s="272"/>
      <c r="BH38" s="272"/>
      <c r="BI38" s="272"/>
      <c r="BJ38" s="272"/>
      <c r="BK38" s="272"/>
      <c r="BL38" s="15"/>
    </row>
    <row r="39" spans="3:64" x14ac:dyDescent="0.25">
      <c r="C39" s="15"/>
      <c r="D39" s="264"/>
      <c r="E39" s="15"/>
      <c r="F39" s="314"/>
      <c r="G39" s="314"/>
      <c r="H39" s="354" t="s">
        <v>349</v>
      </c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15"/>
      <c r="T39" s="15"/>
      <c r="U39" s="15"/>
      <c r="V39" s="15"/>
      <c r="W39" s="265"/>
      <c r="AC39" s="15"/>
      <c r="AD39" s="15"/>
      <c r="AE39" s="15"/>
      <c r="AF39" s="15"/>
      <c r="AJ39" s="15"/>
      <c r="AK39" s="355"/>
      <c r="AL39" s="355"/>
      <c r="AM39" s="271"/>
      <c r="AN39" s="271"/>
      <c r="AO39" s="271"/>
      <c r="AP39" s="272"/>
      <c r="AQ39" s="272"/>
      <c r="AR39" s="272"/>
      <c r="AS39" s="272"/>
      <c r="AT39" s="272"/>
      <c r="AU39" s="272"/>
      <c r="AV39" s="272"/>
      <c r="AW39" s="272"/>
      <c r="AX39" s="15"/>
      <c r="AY39" s="355"/>
      <c r="AZ39" s="355"/>
      <c r="BA39" s="271"/>
      <c r="BB39" s="271"/>
      <c r="BC39" s="271"/>
      <c r="BD39" s="272"/>
      <c r="BE39" s="272"/>
      <c r="BF39" s="272"/>
      <c r="BG39" s="272"/>
      <c r="BH39" s="272"/>
      <c r="BI39" s="272"/>
      <c r="BJ39" s="272"/>
      <c r="BK39" s="272"/>
      <c r="BL39" s="15"/>
    </row>
    <row r="40" spans="3:64" x14ac:dyDescent="0.25">
      <c r="C40" s="15"/>
      <c r="D40" s="264"/>
      <c r="E40" s="15"/>
      <c r="F40" s="314"/>
      <c r="G40" s="314"/>
      <c r="H40" s="186">
        <v>0</v>
      </c>
      <c r="I40" s="186">
        <v>1</v>
      </c>
      <c r="J40" s="186">
        <v>2</v>
      </c>
      <c r="K40" s="186">
        <v>3</v>
      </c>
      <c r="L40" s="186">
        <v>4</v>
      </c>
      <c r="M40" s="186">
        <v>5</v>
      </c>
      <c r="N40" s="186">
        <v>6</v>
      </c>
      <c r="O40" s="186">
        <v>7</v>
      </c>
      <c r="P40" s="186">
        <v>8</v>
      </c>
      <c r="Q40" s="186">
        <v>9</v>
      </c>
      <c r="R40" s="186">
        <v>10</v>
      </c>
      <c r="S40" s="15"/>
      <c r="T40" s="316"/>
      <c r="U40" s="15"/>
      <c r="V40" s="15"/>
      <c r="W40" s="265"/>
      <c r="AJ40" s="15"/>
      <c r="AK40" s="355"/>
      <c r="AL40" s="355"/>
      <c r="AM40" s="271"/>
      <c r="AN40" s="271"/>
      <c r="AO40" s="271"/>
      <c r="AP40" s="272"/>
      <c r="AQ40" s="272"/>
      <c r="AR40" s="272"/>
      <c r="AS40" s="272"/>
      <c r="AT40" s="272"/>
      <c r="AU40" s="272"/>
      <c r="AV40" s="272"/>
      <c r="AW40" s="272"/>
      <c r="AX40" s="15"/>
      <c r="AY40" s="355"/>
      <c r="AZ40" s="355"/>
      <c r="BA40" s="271"/>
      <c r="BB40" s="271"/>
      <c r="BC40" s="271"/>
      <c r="BD40" s="272"/>
      <c r="BE40" s="272"/>
      <c r="BF40" s="272"/>
      <c r="BG40" s="272"/>
      <c r="BH40" s="272"/>
      <c r="BI40" s="272"/>
      <c r="BJ40" s="272"/>
      <c r="BK40" s="272"/>
      <c r="BL40" s="15"/>
    </row>
    <row r="41" spans="3:64" ht="41.25" customHeight="1" x14ac:dyDescent="0.25">
      <c r="C41" s="15"/>
      <c r="D41" s="264"/>
      <c r="E41" s="15"/>
      <c r="F41" s="353" t="s">
        <v>324</v>
      </c>
      <c r="G41" s="354"/>
      <c r="H41" s="284">
        <v>4357.9864297418353</v>
      </c>
      <c r="I41" s="284">
        <v>3865.2556158847115</v>
      </c>
      <c r="J41" s="284">
        <v>3372.4826091664704</v>
      </c>
      <c r="K41" s="285">
        <v>2878.6931374061314</v>
      </c>
      <c r="L41" s="285">
        <v>2384.0614565813644</v>
      </c>
      <c r="M41" s="285">
        <v>1887.7280015448214</v>
      </c>
      <c r="N41" s="285">
        <v>1388.2929923440674</v>
      </c>
      <c r="O41" s="285">
        <v>873.59810647652273</v>
      </c>
      <c r="P41" s="285">
        <v>351.71127412585747</v>
      </c>
      <c r="Q41" s="285">
        <v>-170.17555822480767</v>
      </c>
      <c r="R41" s="285">
        <v>-692.06239057547396</v>
      </c>
      <c r="S41" s="15"/>
      <c r="T41" s="288"/>
      <c r="U41" s="15"/>
      <c r="V41" s="15"/>
      <c r="W41" s="26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</row>
    <row r="42" spans="3:64" ht="38.25" customHeight="1" x14ac:dyDescent="0.25">
      <c r="C42" s="15"/>
      <c r="D42" s="264"/>
      <c r="E42" s="15"/>
      <c r="F42" s="353" t="s">
        <v>325</v>
      </c>
      <c r="G42" s="354"/>
      <c r="H42" s="284">
        <v>4064.900912356477</v>
      </c>
      <c r="I42" s="284">
        <v>3407.9210714149149</v>
      </c>
      <c r="J42" s="284">
        <v>2749.5280794061005</v>
      </c>
      <c r="K42" s="285">
        <v>2088.9105724010692</v>
      </c>
      <c r="L42" s="285">
        <v>1423.7220714700961</v>
      </c>
      <c r="M42" s="285">
        <v>734.42590946242819</v>
      </c>
      <c r="N42" s="285">
        <v>38.576799661540065</v>
      </c>
      <c r="O42" s="285">
        <v>-657.2723101393475</v>
      </c>
      <c r="P42" s="285">
        <v>-1353.1214199402345</v>
      </c>
      <c r="Q42" s="285">
        <v>-2048.9705297411215</v>
      </c>
      <c r="R42" s="285">
        <v>-2744.81963954201</v>
      </c>
      <c r="S42" s="15"/>
      <c r="T42" s="15"/>
      <c r="U42" s="15"/>
      <c r="V42" s="15"/>
      <c r="W42" s="26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</row>
    <row r="43" spans="3:64" ht="36" customHeight="1" x14ac:dyDescent="0.25">
      <c r="C43" s="15"/>
      <c r="D43" s="264"/>
      <c r="E43" s="15"/>
      <c r="F43" s="353" t="s">
        <v>326</v>
      </c>
      <c r="G43" s="354"/>
      <c r="H43" s="284">
        <v>3771.8153949711191</v>
      </c>
      <c r="I43" s="284">
        <v>2949.5712688105027</v>
      </c>
      <c r="J43" s="284">
        <v>2124.391834790044</v>
      </c>
      <c r="K43" s="285">
        <v>1291.10282224922</v>
      </c>
      <c r="L43" s="285">
        <v>421.29143499811209</v>
      </c>
      <c r="M43" s="285">
        <v>-448.51995225299879</v>
      </c>
      <c r="N43" s="285">
        <v>-1318.3313395041082</v>
      </c>
      <c r="O43" s="285">
        <v>-2188.1427267552172</v>
      </c>
      <c r="P43" s="285">
        <v>-3057.954114006327</v>
      </c>
      <c r="Q43" s="285">
        <v>-3927.7655012574364</v>
      </c>
      <c r="R43" s="285">
        <v>-4797.5768885085463</v>
      </c>
      <c r="S43" s="15"/>
      <c r="T43" s="15"/>
      <c r="U43" s="15"/>
      <c r="V43" s="15"/>
      <c r="W43" s="26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</row>
    <row r="44" spans="3:64" ht="39" customHeight="1" x14ac:dyDescent="0.25">
      <c r="C44" s="15"/>
      <c r="D44" s="264"/>
      <c r="E44" s="15"/>
      <c r="F44" s="353" t="s">
        <v>327</v>
      </c>
      <c r="G44" s="354"/>
      <c r="H44" s="284">
        <v>3478.7298775857607</v>
      </c>
      <c r="I44" s="284">
        <v>2490.4574673675102</v>
      </c>
      <c r="J44" s="284">
        <v>1494.5802297221526</v>
      </c>
      <c r="K44" s="285">
        <v>456.08151543423645</v>
      </c>
      <c r="L44" s="285">
        <v>-587.69214926709378</v>
      </c>
      <c r="M44" s="285">
        <v>-1631.4658139684254</v>
      </c>
      <c r="N44" s="285">
        <v>-2675.2394786697564</v>
      </c>
      <c r="O44" s="285">
        <v>-3719.0131433710885</v>
      </c>
      <c r="P44" s="285">
        <v>-4762.7868080724184</v>
      </c>
      <c r="Q44" s="285">
        <v>-5806.5604727737482</v>
      </c>
      <c r="R44" s="285">
        <v>-6850.3341374750817</v>
      </c>
      <c r="S44" s="15"/>
      <c r="T44" s="15"/>
      <c r="U44" s="15"/>
      <c r="V44" s="15"/>
      <c r="W44" s="26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</row>
    <row r="45" spans="3:64" x14ac:dyDescent="0.25">
      <c r="C45" s="15"/>
      <c r="D45" s="264"/>
      <c r="E45" s="15"/>
      <c r="F45" s="315"/>
      <c r="G45" s="15"/>
      <c r="H45" s="288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322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</row>
    <row r="46" spans="3:64" x14ac:dyDescent="0.25">
      <c r="C46" s="15"/>
      <c r="D46" s="264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265"/>
    </row>
    <row r="47" spans="3:64" x14ac:dyDescent="0.25">
      <c r="C47" s="15"/>
      <c r="D47" s="264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265"/>
    </row>
    <row r="48" spans="3:64" x14ac:dyDescent="0.25">
      <c r="C48" s="15"/>
      <c r="D48" s="264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265"/>
    </row>
    <row r="49" spans="3:23" x14ac:dyDescent="0.25">
      <c r="C49" s="15"/>
      <c r="D49" s="264"/>
      <c r="E49" s="15"/>
      <c r="F49" s="15"/>
      <c r="G49" s="15"/>
      <c r="H49" s="15">
        <f>6*H40</f>
        <v>0</v>
      </c>
      <c r="I49" s="15">
        <f t="shared" ref="I49:R49" si="0">6*I40</f>
        <v>6</v>
      </c>
      <c r="J49" s="15">
        <f t="shared" si="0"/>
        <v>12</v>
      </c>
      <c r="K49" s="15">
        <f t="shared" si="0"/>
        <v>18</v>
      </c>
      <c r="L49" s="15">
        <f t="shared" si="0"/>
        <v>24</v>
      </c>
      <c r="M49" s="15">
        <f t="shared" si="0"/>
        <v>30</v>
      </c>
      <c r="N49" s="15">
        <f t="shared" si="0"/>
        <v>36</v>
      </c>
      <c r="O49" s="15">
        <f t="shared" si="0"/>
        <v>42</v>
      </c>
      <c r="P49" s="15">
        <f t="shared" si="0"/>
        <v>48</v>
      </c>
      <c r="Q49" s="15">
        <f t="shared" si="0"/>
        <v>54</v>
      </c>
      <c r="R49" s="15">
        <f t="shared" si="0"/>
        <v>60</v>
      </c>
      <c r="S49" s="15"/>
      <c r="T49" s="15"/>
      <c r="U49" s="15"/>
      <c r="V49" s="15"/>
      <c r="W49" s="265"/>
    </row>
    <row r="50" spans="3:23" x14ac:dyDescent="0.25">
      <c r="C50" s="15"/>
      <c r="D50" s="264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265"/>
    </row>
    <row r="51" spans="3:23" x14ac:dyDescent="0.25">
      <c r="C51" s="15"/>
      <c r="D51" s="264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265"/>
    </row>
    <row r="52" spans="3:23" x14ac:dyDescent="0.25">
      <c r="C52" s="15"/>
      <c r="D52" s="264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265"/>
    </row>
    <row r="53" spans="3:23" x14ac:dyDescent="0.25">
      <c r="C53" s="15"/>
      <c r="D53" s="264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265"/>
    </row>
    <row r="54" spans="3:23" x14ac:dyDescent="0.25">
      <c r="C54" s="15"/>
      <c r="D54" s="264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265"/>
    </row>
    <row r="55" spans="3:23" x14ac:dyDescent="0.25">
      <c r="C55" s="15"/>
      <c r="D55" s="264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265"/>
    </row>
    <row r="56" spans="3:23" x14ac:dyDescent="0.25">
      <c r="C56" s="15"/>
      <c r="D56" s="264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265"/>
    </row>
    <row r="57" spans="3:23" x14ac:dyDescent="0.25">
      <c r="C57" s="15"/>
      <c r="D57" s="264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265"/>
    </row>
    <row r="58" spans="3:23" x14ac:dyDescent="0.25">
      <c r="C58" s="15"/>
      <c r="D58" s="264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265"/>
    </row>
    <row r="59" spans="3:23" x14ac:dyDescent="0.25">
      <c r="C59" s="15"/>
      <c r="D59" s="264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265"/>
    </row>
    <row r="60" spans="3:23" x14ac:dyDescent="0.25">
      <c r="C60" s="15"/>
      <c r="D60" s="264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265"/>
    </row>
    <row r="61" spans="3:23" x14ac:dyDescent="0.25">
      <c r="C61" s="15"/>
      <c r="D61" s="264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265"/>
    </row>
    <row r="62" spans="3:23" x14ac:dyDescent="0.25">
      <c r="C62" s="15"/>
      <c r="D62" s="264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265"/>
    </row>
    <row r="63" spans="3:23" x14ac:dyDescent="0.25">
      <c r="C63" s="15"/>
      <c r="D63" s="264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265"/>
    </row>
    <row r="64" spans="3:23" x14ac:dyDescent="0.25">
      <c r="C64" s="15"/>
      <c r="D64" s="264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265"/>
    </row>
    <row r="65" spans="3:23" x14ac:dyDescent="0.25">
      <c r="C65" s="15"/>
      <c r="D65" s="264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265"/>
    </row>
    <row r="66" spans="3:23" x14ac:dyDescent="0.25">
      <c r="C66" s="15"/>
      <c r="D66" s="264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265"/>
    </row>
    <row r="67" spans="3:23" x14ac:dyDescent="0.25">
      <c r="C67" s="15"/>
      <c r="D67" s="264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265"/>
    </row>
    <row r="68" spans="3:23" x14ac:dyDescent="0.25">
      <c r="C68" s="15"/>
      <c r="D68" s="264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265"/>
    </row>
    <row r="69" spans="3:23" x14ac:dyDescent="0.25">
      <c r="C69" s="15"/>
      <c r="D69" s="264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265"/>
    </row>
    <row r="70" spans="3:23" x14ac:dyDescent="0.25">
      <c r="C70" s="15"/>
      <c r="D70" s="264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265"/>
    </row>
    <row r="71" spans="3:23" x14ac:dyDescent="0.25">
      <c r="C71" s="15"/>
      <c r="D71" s="264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265"/>
    </row>
    <row r="72" spans="3:23" x14ac:dyDescent="0.25">
      <c r="C72" s="15"/>
      <c r="D72" s="264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265"/>
    </row>
    <row r="73" spans="3:23" x14ac:dyDescent="0.25">
      <c r="C73" s="15"/>
      <c r="D73" s="264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265"/>
    </row>
    <row r="74" spans="3:23" x14ac:dyDescent="0.25">
      <c r="C74" s="15"/>
      <c r="D74" s="264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265"/>
    </row>
    <row r="75" spans="3:23" x14ac:dyDescent="0.25">
      <c r="C75" s="15"/>
      <c r="D75" s="264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65"/>
    </row>
    <row r="76" spans="3:23" ht="15.75" thickBot="1" x14ac:dyDescent="0.3">
      <c r="C76" s="15"/>
      <c r="D76" s="266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2"/>
      <c r="T76" s="262"/>
      <c r="U76" s="262"/>
      <c r="V76" s="262"/>
      <c r="W76" s="263"/>
    </row>
    <row r="77" spans="3:23" x14ac:dyDescent="0.25"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</row>
    <row r="78" spans="3:23" x14ac:dyDescent="0.25"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</row>
    <row r="79" spans="3:23" x14ac:dyDescent="0.25"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</row>
    <row r="80" spans="3:23" x14ac:dyDescent="0.25">
      <c r="G80" s="15"/>
      <c r="H80" s="271"/>
    </row>
  </sheetData>
  <mergeCells count="16">
    <mergeCell ref="F32:H32"/>
    <mergeCell ref="AK40:AL40"/>
    <mergeCell ref="AY35:AZ35"/>
    <mergeCell ref="AY36:AZ36"/>
    <mergeCell ref="AY38:AZ38"/>
    <mergeCell ref="AY39:AZ39"/>
    <mergeCell ref="AY40:AZ40"/>
    <mergeCell ref="F42:G42"/>
    <mergeCell ref="F43:G43"/>
    <mergeCell ref="F44:G44"/>
    <mergeCell ref="F41:G41"/>
    <mergeCell ref="AK35:AL35"/>
    <mergeCell ref="AK36:AL36"/>
    <mergeCell ref="AK38:AL38"/>
    <mergeCell ref="AK39:AL39"/>
    <mergeCell ref="H39:R39"/>
  </mergeCells>
  <dataValidations count="3">
    <dataValidation type="list" allowBlank="1" showInputMessage="1" showErrorMessage="1" sqref="C10:C11" xr:uid="{00000000-0002-0000-0100-000000000000}">
      <formula1>"Yes,No"</formula1>
    </dataValidation>
    <dataValidation type="whole" allowBlank="1" showInputMessage="1" showErrorMessage="1" errorTitle="Outside of analysis range" error="Selecting a decision year before 2020 or after 2040 may lead to unrealistic analysis conditions." sqref="C9" xr:uid="{00000000-0002-0000-0100-000001000000}">
      <formula1>2020</formula1>
      <formula2>2040</formula2>
    </dataValidation>
    <dataValidation type="custom" allowBlank="1" showInputMessage="1" showErrorMessage="1" sqref="C7:C8" xr:uid="{00000000-0002-0000-0100-000002000000}">
      <formula1>"locked"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3" r:id="rId4" name="Button 17">
              <controlPr defaultSize="0" print="0" autoFill="0" autoPict="0" macro="[0]!predefined_analysis_one">
                <anchor moveWithCells="1" sizeWithCells="1">
                  <from>
                    <xdr:col>8</xdr:col>
                    <xdr:colOff>152400</xdr:colOff>
                    <xdr:row>29</xdr:row>
                    <xdr:rowOff>114300</xdr:rowOff>
                  </from>
                  <to>
                    <xdr:col>11</xdr:col>
                    <xdr:colOff>257175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5" name="Button 21">
              <controlPr defaultSize="0" print="0" autoFill="0" autoPict="0" macro="[0]!predefined_analysis_two">
                <anchor moveWithCells="1" sizeWithCells="1">
                  <from>
                    <xdr:col>19</xdr:col>
                    <xdr:colOff>314325</xdr:colOff>
                    <xdr:row>39</xdr:row>
                    <xdr:rowOff>104775</xdr:rowOff>
                  </from>
                  <to>
                    <xdr:col>21</xdr:col>
                    <xdr:colOff>1476375</xdr:colOff>
                    <xdr:row>41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3000000}">
          <x14:formula1>
            <xm:f>'Model Descriptions'!$B$69:$B$70</xm:f>
          </x14:formula1>
          <xm:sqref>C17</xm:sqref>
        </x14:dataValidation>
        <x14:dataValidation type="list" allowBlank="1" showInputMessage="1" showErrorMessage="1" xr:uid="{00000000-0002-0000-0100-000004000000}">
          <x14:formula1>
            <xm:f>'Model Descriptions'!$B$55:$B$57</xm:f>
          </x14:formula1>
          <xm:sqref>C14</xm:sqref>
        </x14:dataValidation>
        <x14:dataValidation type="list" allowBlank="1" showInputMessage="1" showErrorMessage="1" xr:uid="{00000000-0002-0000-0100-000005000000}">
          <x14:formula1>
            <xm:f>'Model Descriptions'!$B$66:$B$67</xm:f>
          </x14:formula1>
          <xm:sqref>C16</xm:sqref>
        </x14:dataValidation>
        <x14:dataValidation type="list" allowBlank="1" showInputMessage="1" showErrorMessage="1" xr:uid="{00000000-0002-0000-0100-000006000000}">
          <x14:formula1>
            <xm:f>'Model Descriptions'!$B$48:$B$53</xm:f>
          </x14:formula1>
          <xm:sqref>C13</xm:sqref>
        </x14:dataValidation>
        <x14:dataValidation type="list" allowBlank="1" showInputMessage="1" showErrorMessage="1" xr:uid="{00000000-0002-0000-0100-000007000000}">
          <x14:formula1>
            <xm:f>'Model Descriptions'!$B$59:$B$64</xm:f>
          </x14:formula1>
          <xm:sqref>C15</xm:sqref>
        </x14:dataValidation>
        <x14:dataValidation type="list" allowBlank="1" showInputMessage="1" showErrorMessage="1" xr:uid="{00000000-0002-0000-0100-000008000000}">
          <x14:formula1>
            <xm:f>'Model Descriptions'!$B$20:$B$28</xm:f>
          </x14:formula1>
          <xm:sqref>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2:AZ78"/>
  <sheetViews>
    <sheetView zoomScale="130" zoomScaleNormal="130" workbookViewId="0">
      <selection activeCell="B36" sqref="B36"/>
    </sheetView>
  </sheetViews>
  <sheetFormatPr defaultRowHeight="15" x14ac:dyDescent="0.25"/>
  <cols>
    <col min="2" max="2" width="41.7109375" bestFit="1" customWidth="1"/>
    <col min="3" max="3" width="17.85546875" bestFit="1" customWidth="1"/>
    <col min="4" max="4" width="16.85546875" bestFit="1" customWidth="1"/>
    <col min="6" max="6" width="9.140625" style="330"/>
    <col min="7" max="7" width="25.85546875" customWidth="1"/>
    <col min="8" max="8" width="13.85546875" customWidth="1"/>
    <col min="9" max="9" width="11.85546875" customWidth="1"/>
    <col min="10" max="10" width="10.85546875" bestFit="1" customWidth="1"/>
    <col min="11" max="11" width="11.85546875" bestFit="1" customWidth="1"/>
    <col min="12" max="12" width="50" bestFit="1" customWidth="1"/>
    <col min="13" max="13" width="34.5703125" bestFit="1" customWidth="1"/>
    <col min="14" max="16" width="6.28515625" bestFit="1" customWidth="1"/>
    <col min="17" max="18" width="6.85546875" bestFit="1" customWidth="1"/>
    <col min="19" max="24" width="7.28515625" bestFit="1" customWidth="1"/>
    <col min="26" max="26" width="46" style="330" bestFit="1" customWidth="1"/>
    <col min="27" max="27" width="34.5703125" style="330" bestFit="1" customWidth="1"/>
    <col min="28" max="30" width="6.28515625" style="330" bestFit="1" customWidth="1"/>
    <col min="31" max="31" width="6.42578125" style="330" bestFit="1" customWidth="1"/>
    <col min="32" max="38" width="7.28515625" style="330" bestFit="1" customWidth="1"/>
    <col min="40" max="40" width="40.7109375" bestFit="1" customWidth="1"/>
    <col min="41" max="41" width="34.5703125" bestFit="1" customWidth="1"/>
    <col min="42" max="44" width="6.28515625" bestFit="1" customWidth="1"/>
    <col min="45" max="45" width="6.42578125" bestFit="1" customWidth="1"/>
    <col min="46" max="52" width="7.28515625" bestFit="1" customWidth="1"/>
  </cols>
  <sheetData>
    <row r="2" spans="2:52" s="330" customFormat="1" x14ac:dyDescent="0.25">
      <c r="L2" s="330" t="s">
        <v>390</v>
      </c>
      <c r="Z2" s="330" t="s">
        <v>391</v>
      </c>
      <c r="AN2" s="330" t="s">
        <v>392</v>
      </c>
    </row>
    <row r="3" spans="2:52" x14ac:dyDescent="0.25">
      <c r="B3" s="282" t="s">
        <v>110</v>
      </c>
      <c r="C3" s="274" t="s">
        <v>312</v>
      </c>
      <c r="D3" s="274" t="s">
        <v>48</v>
      </c>
      <c r="G3" s="357" t="s">
        <v>403</v>
      </c>
      <c r="H3" s="357"/>
      <c r="I3" s="357"/>
      <c r="J3" s="357"/>
      <c r="L3" s="360">
        <v>2025</v>
      </c>
      <c r="M3" s="360"/>
      <c r="N3" s="361" t="s">
        <v>329</v>
      </c>
      <c r="O3" s="362"/>
      <c r="P3" s="362"/>
      <c r="Q3" s="362"/>
      <c r="R3" s="362"/>
      <c r="S3" s="362"/>
      <c r="T3" s="362"/>
      <c r="U3" s="362"/>
      <c r="V3" s="362"/>
      <c r="W3" s="362"/>
      <c r="X3" s="363"/>
      <c r="Z3" s="360">
        <v>2025</v>
      </c>
      <c r="AA3" s="360"/>
      <c r="AB3" s="361" t="s">
        <v>329</v>
      </c>
      <c r="AC3" s="362"/>
      <c r="AD3" s="362"/>
      <c r="AE3" s="362"/>
      <c r="AF3" s="362"/>
      <c r="AG3" s="362"/>
      <c r="AH3" s="362"/>
      <c r="AI3" s="362"/>
      <c r="AJ3" s="362"/>
      <c r="AK3" s="362"/>
      <c r="AL3" s="363"/>
      <c r="AN3" s="359" t="s">
        <v>397</v>
      </c>
      <c r="AO3" s="360"/>
      <c r="AP3" s="361" t="s">
        <v>329</v>
      </c>
      <c r="AQ3" s="362"/>
      <c r="AR3" s="362"/>
      <c r="AS3" s="362"/>
      <c r="AT3" s="362"/>
      <c r="AU3" s="362"/>
      <c r="AV3" s="362"/>
      <c r="AW3" s="362"/>
      <c r="AX3" s="362"/>
      <c r="AY3" s="362"/>
      <c r="AZ3" s="363"/>
    </row>
    <row r="4" spans="2:52" x14ac:dyDescent="0.25">
      <c r="B4" s="392" t="s">
        <v>41</v>
      </c>
      <c r="C4" s="393">
        <v>0.09</v>
      </c>
      <c r="D4" s="393">
        <v>0.09</v>
      </c>
      <c r="G4" s="279" t="s">
        <v>177</v>
      </c>
      <c r="H4" s="279" t="s">
        <v>32</v>
      </c>
      <c r="I4" s="279" t="s">
        <v>9</v>
      </c>
      <c r="J4" s="279" t="s">
        <v>399</v>
      </c>
      <c r="L4" s="360"/>
      <c r="M4" s="360"/>
      <c r="N4" s="303">
        <v>0</v>
      </c>
      <c r="O4" s="298">
        <v>1</v>
      </c>
      <c r="P4" s="298">
        <v>2</v>
      </c>
      <c r="Q4" s="298">
        <v>3</v>
      </c>
      <c r="R4" s="298">
        <v>4</v>
      </c>
      <c r="S4" s="298">
        <v>5</v>
      </c>
      <c r="T4" s="298">
        <v>6</v>
      </c>
      <c r="U4" s="298">
        <v>7</v>
      </c>
      <c r="V4" s="298">
        <v>8</v>
      </c>
      <c r="W4" s="298">
        <v>9</v>
      </c>
      <c r="X4" s="304">
        <v>10</v>
      </c>
      <c r="Z4" s="360"/>
      <c r="AA4" s="360"/>
      <c r="AB4" s="303">
        <v>0</v>
      </c>
      <c r="AC4" s="298">
        <v>1</v>
      </c>
      <c r="AD4" s="298">
        <v>2</v>
      </c>
      <c r="AE4" s="298">
        <v>3</v>
      </c>
      <c r="AF4" s="298">
        <v>4</v>
      </c>
      <c r="AG4" s="298">
        <v>5</v>
      </c>
      <c r="AH4" s="298">
        <v>6</v>
      </c>
      <c r="AI4" s="298">
        <v>7</v>
      </c>
      <c r="AJ4" s="298">
        <v>8</v>
      </c>
      <c r="AK4" s="298">
        <v>9</v>
      </c>
      <c r="AL4" s="304">
        <v>10</v>
      </c>
      <c r="AN4" s="360"/>
      <c r="AO4" s="360"/>
      <c r="AP4" s="303">
        <v>0</v>
      </c>
      <c r="AQ4" s="298">
        <v>1</v>
      </c>
      <c r="AR4" s="298">
        <v>2</v>
      </c>
      <c r="AS4" s="298">
        <v>3</v>
      </c>
      <c r="AT4" s="298">
        <v>4</v>
      </c>
      <c r="AU4" s="298">
        <v>5</v>
      </c>
      <c r="AV4" s="298">
        <v>6</v>
      </c>
      <c r="AW4" s="298">
        <v>7</v>
      </c>
      <c r="AX4" s="298">
        <v>8</v>
      </c>
      <c r="AY4" s="298">
        <v>9</v>
      </c>
      <c r="AZ4" s="304">
        <v>10</v>
      </c>
    </row>
    <row r="5" spans="2:52" x14ac:dyDescent="0.25">
      <c r="B5" s="15" t="s">
        <v>11</v>
      </c>
      <c r="C5" s="278">
        <v>0.6</v>
      </c>
      <c r="D5" s="278">
        <v>0.6</v>
      </c>
      <c r="F5" s="343" t="s">
        <v>400</v>
      </c>
      <c r="G5" s="344">
        <f>0.000000854</f>
        <v>8.54E-7</v>
      </c>
      <c r="H5" s="344">
        <f>2*10^-3</f>
        <v>2E-3</v>
      </c>
      <c r="I5" s="344">
        <f>1.05*10^-1</f>
        <v>0.10500000000000001</v>
      </c>
      <c r="J5" s="344">
        <f>SUM(G5:I5)</f>
        <v>0.10700085400000001</v>
      </c>
      <c r="L5" s="309" t="s">
        <v>333</v>
      </c>
      <c r="M5" s="309" t="s">
        <v>381</v>
      </c>
      <c r="N5" s="364" t="s">
        <v>332</v>
      </c>
      <c r="O5" s="354"/>
      <c r="P5" s="354"/>
      <c r="Q5" s="354"/>
      <c r="R5" s="354"/>
      <c r="S5" s="354"/>
      <c r="T5" s="354"/>
      <c r="U5" s="354"/>
      <c r="V5" s="354"/>
      <c r="W5" s="354"/>
      <c r="X5" s="354"/>
      <c r="Z5" s="334" t="s">
        <v>333</v>
      </c>
      <c r="AA5" s="334" t="s">
        <v>381</v>
      </c>
      <c r="AB5" s="364" t="s">
        <v>332</v>
      </c>
      <c r="AC5" s="354"/>
      <c r="AD5" s="354"/>
      <c r="AE5" s="354"/>
      <c r="AF5" s="354"/>
      <c r="AG5" s="354"/>
      <c r="AH5" s="354"/>
      <c r="AI5" s="354"/>
      <c r="AJ5" s="354"/>
      <c r="AK5" s="354"/>
      <c r="AL5" s="354"/>
      <c r="AN5" s="340" t="s">
        <v>393</v>
      </c>
      <c r="AO5" s="340" t="s">
        <v>381</v>
      </c>
      <c r="AP5" s="364" t="s">
        <v>332</v>
      </c>
      <c r="AQ5" s="354"/>
      <c r="AR5" s="354"/>
      <c r="AS5" s="354"/>
      <c r="AT5" s="354"/>
      <c r="AU5" s="354"/>
      <c r="AV5" s="354"/>
      <c r="AW5" s="354"/>
      <c r="AX5" s="354"/>
      <c r="AY5" s="354"/>
      <c r="AZ5" s="354"/>
    </row>
    <row r="6" spans="2:52" x14ac:dyDescent="0.25">
      <c r="B6" s="276" t="s">
        <v>12</v>
      </c>
      <c r="C6" s="279">
        <v>3.6999999999999998E-2</v>
      </c>
      <c r="D6" s="279">
        <v>3.6999999999999998E-2</v>
      </c>
      <c r="F6" s="339" t="s">
        <v>401</v>
      </c>
      <c r="G6" s="342">
        <f>0.0000000000209</f>
        <v>2.09E-11</v>
      </c>
      <c r="H6" s="342">
        <f>6.25*10^-8</f>
        <v>6.2499999999999997E-8</v>
      </c>
      <c r="I6" s="342">
        <f>2.19*10^-7</f>
        <v>2.1899999999999999E-7</v>
      </c>
      <c r="J6" s="342">
        <f t="shared" ref="J6:J7" si="0">SUM(G6:I6)</f>
        <v>2.8152089999999998E-7</v>
      </c>
      <c r="L6" s="356" t="s">
        <v>328</v>
      </c>
      <c r="M6" s="310">
        <v>6</v>
      </c>
      <c r="N6" s="299">
        <v>966.63841687808292</v>
      </c>
      <c r="O6" s="299">
        <v>603.39296860765808</v>
      </c>
      <c r="P6" s="299">
        <v>240.14752033723323</v>
      </c>
      <c r="Q6" s="299">
        <v>-100.31668252628791</v>
      </c>
      <c r="R6" s="299">
        <v>-396.33773604914052</v>
      </c>
      <c r="S6" s="299">
        <v>-693.77862501257277</v>
      </c>
      <c r="T6" s="299">
        <v>-1039.7399323234997</v>
      </c>
      <c r="U6" s="299">
        <v>-1419.9770714090891</v>
      </c>
      <c r="V6" s="299">
        <v>-1800.2142104946761</v>
      </c>
      <c r="W6" s="299">
        <v>-2180.4513495802639</v>
      </c>
      <c r="X6" s="305">
        <v>-2560.6884886658509</v>
      </c>
      <c r="Z6" s="356" t="s">
        <v>328</v>
      </c>
      <c r="AA6" s="310">
        <v>6</v>
      </c>
      <c r="AB6" s="299">
        <v>1436.7963500260739</v>
      </c>
      <c r="AC6" s="299">
        <v>940.23429070232203</v>
      </c>
      <c r="AD6" s="299">
        <v>441.77098808774008</v>
      </c>
      <c r="AE6" s="299">
        <v>-46.283556038914668</v>
      </c>
      <c r="AF6" s="299">
        <v>-452.58129513844517</v>
      </c>
      <c r="AG6" s="299">
        <v>-858.92252366493699</v>
      </c>
      <c r="AH6" s="299">
        <v>-1270.8033709541039</v>
      </c>
      <c r="AI6" s="299">
        <v>-1770.7242195031736</v>
      </c>
      <c r="AJ6" s="299">
        <v>-2292.6110518538362</v>
      </c>
      <c r="AK6" s="299">
        <v>-2814.4978842045043</v>
      </c>
      <c r="AL6" s="305">
        <v>-3336.3847165551706</v>
      </c>
      <c r="AN6" s="356" t="s">
        <v>394</v>
      </c>
      <c r="AO6" s="310">
        <v>6</v>
      </c>
      <c r="AP6" s="299">
        <v>2481.3194240420521</v>
      </c>
      <c r="AQ6" s="299">
        <v>2116.9571701940681</v>
      </c>
      <c r="AR6" s="299">
        <v>1751.0635838771555</v>
      </c>
      <c r="AS6" s="299">
        <v>1380.1138104804832</v>
      </c>
      <c r="AT6" s="299">
        <v>999.87667139489531</v>
      </c>
      <c r="AU6" s="299">
        <v>619.63953230930758</v>
      </c>
      <c r="AV6" s="299">
        <v>239.40239322372008</v>
      </c>
      <c r="AW6" s="299">
        <v>-140.83474586186844</v>
      </c>
      <c r="AX6" s="299">
        <v>-521.07188494745583</v>
      </c>
      <c r="AY6" s="299">
        <v>-901.30902403304378</v>
      </c>
      <c r="AZ6" s="305">
        <v>-1281.5461631186317</v>
      </c>
    </row>
    <row r="7" spans="2:52" x14ac:dyDescent="0.25">
      <c r="B7" s="15" t="s">
        <v>408</v>
      </c>
      <c r="C7" s="57">
        <v>15</v>
      </c>
      <c r="D7" s="57">
        <v>15</v>
      </c>
      <c r="F7" s="156" t="s">
        <v>402</v>
      </c>
      <c r="G7" s="345">
        <f>0.00000000091</f>
        <v>9.0999999999999996E-10</v>
      </c>
      <c r="H7" s="345">
        <f>3.66*10^-6</f>
        <v>3.6600000000000001E-6</v>
      </c>
      <c r="I7" s="345">
        <v>1.67E-3</v>
      </c>
      <c r="J7" s="345">
        <f t="shared" si="0"/>
        <v>1.67366091E-3</v>
      </c>
      <c r="L7" s="356"/>
      <c r="M7" s="311">
        <v>8</v>
      </c>
      <c r="N7" s="300">
        <v>966.63841687808292</v>
      </c>
      <c r="O7" s="300">
        <v>482.31115251751658</v>
      </c>
      <c r="P7" s="300">
        <v>-1.6429980186705584</v>
      </c>
      <c r="Q7" s="300">
        <v>-396.33773604914086</v>
      </c>
      <c r="R7" s="300">
        <v>-800.51533767069361</v>
      </c>
      <c r="S7" s="300">
        <v>-1293.2313583805585</v>
      </c>
      <c r="T7" s="300">
        <v>-1800.2142104946754</v>
      </c>
      <c r="U7" s="300">
        <v>-2307.1970626087923</v>
      </c>
      <c r="V7" s="300">
        <v>-2814.1799147229099</v>
      </c>
      <c r="W7" s="300">
        <v>-3321.162766837027</v>
      </c>
      <c r="X7" s="306">
        <v>-3828.1456189511437</v>
      </c>
      <c r="Z7" s="356"/>
      <c r="AA7" s="311">
        <v>8</v>
      </c>
      <c r="AB7" s="300">
        <v>1436.7963500260739</v>
      </c>
      <c r="AC7" s="300">
        <v>774.1481078348022</v>
      </c>
      <c r="AD7" s="300">
        <v>109.39416868227873</v>
      </c>
      <c r="AE7" s="300">
        <v>-452.58129513844511</v>
      </c>
      <c r="AF7" s="300">
        <v>-995.18491555958258</v>
      </c>
      <c r="AG7" s="300">
        <v>-1596.7619420529516</v>
      </c>
      <c r="AH7" s="300">
        <v>-2292.6110518538389</v>
      </c>
      <c r="AI7" s="300">
        <v>-2988.460161654727</v>
      </c>
      <c r="AJ7" s="300">
        <v>-3684.3092714556142</v>
      </c>
      <c r="AK7" s="300">
        <v>-4380.1583812564995</v>
      </c>
      <c r="AL7" s="306">
        <v>-5076.0074910573894</v>
      </c>
      <c r="AN7" s="356"/>
      <c r="AO7" s="311">
        <v>8</v>
      </c>
      <c r="AP7" s="300">
        <v>2051.8116964644573</v>
      </c>
      <c r="AQ7" s="300">
        <v>1562.4160672720971</v>
      </c>
      <c r="AR7" s="300">
        <v>1055.5036200772272</v>
      </c>
      <c r="AS7" s="300">
        <v>548.52076796311076</v>
      </c>
      <c r="AT7" s="300">
        <v>41.537915848992867</v>
      </c>
      <c r="AU7" s="300">
        <v>-465.44493626512417</v>
      </c>
      <c r="AV7" s="300">
        <v>-972.42778837924061</v>
      </c>
      <c r="AW7" s="300">
        <v>-1479.4106404933586</v>
      </c>
      <c r="AX7" s="300">
        <v>-1986.3934926074758</v>
      </c>
      <c r="AY7" s="300">
        <v>-2493.3763447215924</v>
      </c>
      <c r="AZ7" s="306">
        <v>-3000.3591968357105</v>
      </c>
    </row>
    <row r="8" spans="2:52" x14ac:dyDescent="0.25">
      <c r="B8" s="276" t="s">
        <v>13</v>
      </c>
      <c r="C8" s="279">
        <v>0.25700000000000001</v>
      </c>
      <c r="D8" s="279">
        <v>0.25700000000000001</v>
      </c>
      <c r="F8" s="15"/>
      <c r="G8" s="357" t="s">
        <v>404</v>
      </c>
      <c r="H8" s="357"/>
      <c r="I8" s="357"/>
      <c r="J8" s="357"/>
      <c r="K8" s="330"/>
      <c r="L8" s="356"/>
      <c r="M8" s="312">
        <v>10</v>
      </c>
      <c r="N8" s="301">
        <v>966.63841687808292</v>
      </c>
      <c r="O8" s="301">
        <v>361.22933642737485</v>
      </c>
      <c r="P8" s="301">
        <v>-198.99036703390675</v>
      </c>
      <c r="Q8" s="301">
        <v>-693.77862501257277</v>
      </c>
      <c r="R8" s="301">
        <v>-1293.231358380559</v>
      </c>
      <c r="S8" s="301">
        <v>-1926.9599235232051</v>
      </c>
      <c r="T8" s="301">
        <v>-2560.6884886658513</v>
      </c>
      <c r="U8" s="301">
        <v>-3194.4170538084991</v>
      </c>
      <c r="V8" s="301">
        <v>-3828.1456189511446</v>
      </c>
      <c r="W8" s="301">
        <v>-4461.874184093791</v>
      </c>
      <c r="X8" s="307">
        <v>-5095.6027492364365</v>
      </c>
      <c r="Z8" s="356"/>
      <c r="AA8" s="312">
        <v>10</v>
      </c>
      <c r="AB8" s="301">
        <v>1436.7963500260739</v>
      </c>
      <c r="AC8" s="301">
        <v>607.95939779047092</v>
      </c>
      <c r="AD8" s="301">
        <v>-181.7161357387584</v>
      </c>
      <c r="AE8" s="301">
        <v>-858.92240724010196</v>
      </c>
      <c r="AF8" s="301">
        <v>-1596.7619420529516</v>
      </c>
      <c r="AG8" s="301">
        <v>-2466.5733293040612</v>
      </c>
      <c r="AH8" s="301">
        <v>-3336.3847165551697</v>
      </c>
      <c r="AI8" s="301">
        <v>-4206.19610380628</v>
      </c>
      <c r="AJ8" s="301">
        <v>-5076.0074910573885</v>
      </c>
      <c r="AK8" s="301">
        <v>-5945.818878308497</v>
      </c>
      <c r="AL8" s="307">
        <v>-6815.6302655596073</v>
      </c>
      <c r="AN8" s="356"/>
      <c r="AO8" s="312">
        <v>10</v>
      </c>
      <c r="AP8" s="301">
        <v>1618.1134208736769</v>
      </c>
      <c r="AQ8" s="301">
        <v>984.38485573102957</v>
      </c>
      <c r="AR8" s="301">
        <v>350.65629058838391</v>
      </c>
      <c r="AS8" s="301">
        <v>-283.07227455426329</v>
      </c>
      <c r="AT8" s="301">
        <v>-916.80083969690963</v>
      </c>
      <c r="AU8" s="301">
        <v>-1550.5294048395563</v>
      </c>
      <c r="AV8" s="301">
        <v>-2184.2579699822027</v>
      </c>
      <c r="AW8" s="301">
        <v>-2817.9865351248486</v>
      </c>
      <c r="AX8" s="301">
        <v>-3451.715100267495</v>
      </c>
      <c r="AY8" s="301">
        <v>-4085.4436654101414</v>
      </c>
      <c r="AZ8" s="307">
        <v>-4719.1722305527883</v>
      </c>
    </row>
    <row r="9" spans="2:52" x14ac:dyDescent="0.25">
      <c r="B9" s="15" t="s">
        <v>409</v>
      </c>
      <c r="C9" s="57">
        <v>10</v>
      </c>
      <c r="D9" s="57">
        <v>10</v>
      </c>
      <c r="F9" s="18"/>
      <c r="G9" s="279" t="s">
        <v>175</v>
      </c>
      <c r="H9" s="279" t="s">
        <v>32</v>
      </c>
      <c r="I9" s="279" t="s">
        <v>9</v>
      </c>
      <c r="J9" s="279" t="s">
        <v>399</v>
      </c>
      <c r="K9" s="330"/>
      <c r="L9" s="356"/>
      <c r="M9" s="290">
        <v>12</v>
      </c>
      <c r="N9" s="302">
        <v>966.63841687808292</v>
      </c>
      <c r="O9" s="302">
        <v>240.14752033723323</v>
      </c>
      <c r="P9" s="302">
        <v>-396.3377360491404</v>
      </c>
      <c r="Q9" s="302">
        <v>-1039.7399323234999</v>
      </c>
      <c r="R9" s="302">
        <v>-1800.2142104946754</v>
      </c>
      <c r="S9" s="302">
        <v>-2560.6884886658518</v>
      </c>
      <c r="T9" s="302">
        <v>-3321.1627668370265</v>
      </c>
      <c r="U9" s="302">
        <v>-4081.6370450082031</v>
      </c>
      <c r="V9" s="302">
        <v>-4842.1113231793806</v>
      </c>
      <c r="W9" s="302">
        <v>-5602.5856013505545</v>
      </c>
      <c r="X9" s="308">
        <v>-6363.0598795217302</v>
      </c>
      <c r="Z9" s="356"/>
      <c r="AA9" s="290">
        <v>12</v>
      </c>
      <c r="AB9" s="302">
        <v>1436.7963500260739</v>
      </c>
      <c r="AC9" s="302">
        <v>441.77098808774008</v>
      </c>
      <c r="AD9" s="302">
        <v>-452.58129513844574</v>
      </c>
      <c r="AE9" s="302">
        <v>-1270.8021752067482</v>
      </c>
      <c r="AF9" s="302">
        <v>-2292.6110518538389</v>
      </c>
      <c r="AG9" s="302">
        <v>-3336.3847165551706</v>
      </c>
      <c r="AH9" s="302">
        <v>-4380.1583812565004</v>
      </c>
      <c r="AI9" s="302">
        <v>-5423.9320459578312</v>
      </c>
      <c r="AJ9" s="302">
        <v>-6467.7057106591628</v>
      </c>
      <c r="AK9" s="302">
        <v>-7511.4793753604936</v>
      </c>
      <c r="AL9" s="308">
        <v>-8555.2530400618234</v>
      </c>
      <c r="AN9" s="356"/>
      <c r="AO9" s="290">
        <v>12</v>
      </c>
      <c r="AP9" s="302">
        <v>1166.7575174418903</v>
      </c>
      <c r="AQ9" s="302">
        <v>406.28323927071494</v>
      </c>
      <c r="AR9" s="302">
        <v>-354.19103890046154</v>
      </c>
      <c r="AS9" s="302">
        <v>-1114.6653170716365</v>
      </c>
      <c r="AT9" s="302">
        <v>-1875.1395952428131</v>
      </c>
      <c r="AU9" s="302">
        <v>-2635.6138734139881</v>
      </c>
      <c r="AV9" s="302">
        <v>-3396.0881515851634</v>
      </c>
      <c r="AW9" s="302">
        <v>-4156.5624297563409</v>
      </c>
      <c r="AX9" s="302">
        <v>-4917.0367079275175</v>
      </c>
      <c r="AY9" s="302">
        <v>-5677.5109860986913</v>
      </c>
      <c r="AZ9" s="308">
        <v>-6437.9852642698661</v>
      </c>
    </row>
    <row r="10" spans="2:52" x14ac:dyDescent="0.25">
      <c r="B10" s="276" t="s">
        <v>410</v>
      </c>
      <c r="C10" s="277">
        <v>3</v>
      </c>
      <c r="D10" s="277">
        <v>1</v>
      </c>
      <c r="F10" s="343" t="s">
        <v>400</v>
      </c>
      <c r="G10" s="344">
        <v>3.54E-6</v>
      </c>
      <c r="H10" s="344">
        <f>4.52*10^-4</f>
        <v>4.5199999999999998E-4</v>
      </c>
      <c r="I10" s="344">
        <f>7.96*10^-3</f>
        <v>7.9600000000000001E-3</v>
      </c>
      <c r="J10" s="344">
        <f>SUM(G10:I10)</f>
        <v>8.4155400000000009E-3</v>
      </c>
      <c r="K10" s="338"/>
      <c r="L10" s="356" t="s">
        <v>330</v>
      </c>
      <c r="M10" s="310">
        <v>6</v>
      </c>
      <c r="N10" s="299">
        <v>3122.7055672612569</v>
      </c>
      <c r="O10" s="299">
        <v>2759.8258543746852</v>
      </c>
      <c r="P10" s="299">
        <v>2396.2968590551532</v>
      </c>
      <c r="Q10" s="299">
        <v>2031.9426046990432</v>
      </c>
      <c r="R10" s="299">
        <v>1666.1321708385351</v>
      </c>
      <c r="S10" s="299">
        <v>1296.6752772468913</v>
      </c>
      <c r="T10" s="299">
        <v>916.43813816130353</v>
      </c>
      <c r="U10" s="299">
        <v>536.20099907571478</v>
      </c>
      <c r="V10" s="299">
        <v>155.96385999012762</v>
      </c>
      <c r="W10" s="299">
        <v>-224.27327909546057</v>
      </c>
      <c r="X10" s="305">
        <v>-604.51041818104852</v>
      </c>
      <c r="Z10" s="356" t="s">
        <v>330</v>
      </c>
      <c r="AA10" s="310">
        <v>6</v>
      </c>
      <c r="AB10" s="299">
        <v>4357.9864297418353</v>
      </c>
      <c r="AC10" s="299">
        <v>3865.2556158847115</v>
      </c>
      <c r="AD10" s="299">
        <v>3372.4826091664704</v>
      </c>
      <c r="AE10" s="299">
        <v>2878.6931374061314</v>
      </c>
      <c r="AF10" s="299">
        <v>2384.0614565813644</v>
      </c>
      <c r="AG10" s="299">
        <v>1887.7280015448214</v>
      </c>
      <c r="AH10" s="299">
        <v>1388.2929923440674</v>
      </c>
      <c r="AI10" s="299">
        <v>873.59810647652273</v>
      </c>
      <c r="AJ10" s="299">
        <v>351.71127412585747</v>
      </c>
      <c r="AK10" s="299">
        <v>-170.17555822480767</v>
      </c>
      <c r="AL10" s="305">
        <v>-692.06239057547396</v>
      </c>
      <c r="AN10" s="356" t="s">
        <v>395</v>
      </c>
      <c r="AO10" s="310">
        <v>6</v>
      </c>
      <c r="AP10" s="299">
        <v>3122.6796558823453</v>
      </c>
      <c r="AQ10" s="299">
        <v>2759.7999734544992</v>
      </c>
      <c r="AR10" s="299">
        <v>2396.2730813747362</v>
      </c>
      <c r="AS10" s="299">
        <v>2031.9207333916152</v>
      </c>
      <c r="AT10" s="299">
        <v>1666.1136002516362</v>
      </c>
      <c r="AU10" s="299">
        <v>1296.67320295374</v>
      </c>
      <c r="AV10" s="299">
        <v>916.43606386815247</v>
      </c>
      <c r="AW10" s="299">
        <v>536.19892478256372</v>
      </c>
      <c r="AX10" s="299">
        <v>155.9617856969769</v>
      </c>
      <c r="AY10" s="299">
        <v>-224.27535338861173</v>
      </c>
      <c r="AZ10" s="305">
        <v>-604.51249247419958</v>
      </c>
    </row>
    <row r="11" spans="2:52" x14ac:dyDescent="0.25">
      <c r="B11" s="15" t="s">
        <v>25</v>
      </c>
      <c r="C11" s="278">
        <v>0.8</v>
      </c>
      <c r="D11" s="278">
        <v>0</v>
      </c>
      <c r="F11" s="339" t="s">
        <v>401</v>
      </c>
      <c r="G11" s="342">
        <v>7.1300000000000002E-11</v>
      </c>
      <c r="H11" s="342">
        <f>2.41*10^-8</f>
        <v>2.4100000000000001E-8</v>
      </c>
      <c r="I11" s="342">
        <f>1.38*10^-7</f>
        <v>1.3799999999999999E-7</v>
      </c>
      <c r="J11" s="342">
        <f t="shared" ref="J11:J12" si="1">SUM(G11:I11)</f>
        <v>1.6217129999999998E-7</v>
      </c>
      <c r="K11" s="341"/>
      <c r="L11" s="356" t="s">
        <v>330</v>
      </c>
      <c r="M11" s="311">
        <v>8</v>
      </c>
      <c r="N11" s="300">
        <v>2909.1340851078844</v>
      </c>
      <c r="O11" s="300">
        <v>2424.6462568894744</v>
      </c>
      <c r="P11" s="300">
        <v>1938.492465264454</v>
      </c>
      <c r="Q11" s="300">
        <v>1449.3930108919549</v>
      </c>
      <c r="R11" s="300">
        <v>944.25167400355156</v>
      </c>
      <c r="S11" s="300">
        <v>437.26882188943222</v>
      </c>
      <c r="T11" s="300">
        <v>-69.714030224683995</v>
      </c>
      <c r="U11" s="300">
        <v>-576.69688233880026</v>
      </c>
      <c r="V11" s="300">
        <v>-1083.6797344529177</v>
      </c>
      <c r="W11" s="300">
        <v>-1590.6625865670353</v>
      </c>
      <c r="X11" s="306">
        <v>-2097.6454386811511</v>
      </c>
      <c r="Z11" s="356" t="s">
        <v>330</v>
      </c>
      <c r="AA11" s="311">
        <v>8</v>
      </c>
      <c r="AB11" s="300">
        <v>4064.900912356477</v>
      </c>
      <c r="AC11" s="300">
        <v>3407.9210714149149</v>
      </c>
      <c r="AD11" s="300">
        <v>2749.5280794061005</v>
      </c>
      <c r="AE11" s="300">
        <v>2088.9105724010692</v>
      </c>
      <c r="AF11" s="300">
        <v>1423.7220714700961</v>
      </c>
      <c r="AG11" s="300">
        <v>734.42590946242819</v>
      </c>
      <c r="AH11" s="300">
        <v>38.576799661540065</v>
      </c>
      <c r="AI11" s="300">
        <v>-657.2723101393475</v>
      </c>
      <c r="AJ11" s="300">
        <v>-1353.1214199402345</v>
      </c>
      <c r="AK11" s="300">
        <v>-2048.9705297411215</v>
      </c>
      <c r="AL11" s="306">
        <v>-2744.81963954201</v>
      </c>
      <c r="AN11" s="356"/>
      <c r="AO11" s="311">
        <v>8</v>
      </c>
      <c r="AP11" s="300">
        <v>2909.1080871866016</v>
      </c>
      <c r="AQ11" s="300">
        <v>2424.6223598079055</v>
      </c>
      <c r="AR11" s="300">
        <v>1938.4722039731846</v>
      </c>
      <c r="AS11" s="300">
        <v>1449.3770470391853</v>
      </c>
      <c r="AT11" s="300">
        <v>944.24947670823622</v>
      </c>
      <c r="AU11" s="300">
        <v>437.26662459411773</v>
      </c>
      <c r="AV11" s="300">
        <v>-69.716227519998256</v>
      </c>
      <c r="AW11" s="300">
        <v>-576.6990796341147</v>
      </c>
      <c r="AX11" s="300">
        <v>-1083.6819317482332</v>
      </c>
      <c r="AY11" s="300">
        <v>-1590.6647838623494</v>
      </c>
      <c r="AZ11" s="306">
        <v>-2097.647635976467</v>
      </c>
    </row>
    <row r="12" spans="2:52" x14ac:dyDescent="0.25">
      <c r="B12" s="276" t="s">
        <v>26</v>
      </c>
      <c r="C12" s="279">
        <v>0.1</v>
      </c>
      <c r="D12" s="279">
        <v>0</v>
      </c>
      <c r="F12" s="156" t="s">
        <v>402</v>
      </c>
      <c r="G12" s="345">
        <v>3.4900000000000001E-9</v>
      </c>
      <c r="H12" s="345">
        <f>5.31*10^-7</f>
        <v>5.3099999999999998E-7</v>
      </c>
      <c r="I12" s="345">
        <v>4.9399999999999997E-4</v>
      </c>
      <c r="J12" s="345">
        <f t="shared" si="1"/>
        <v>4.9453449000000003E-4</v>
      </c>
      <c r="K12" s="341"/>
      <c r="L12" s="356" t="s">
        <v>330</v>
      </c>
      <c r="M12" s="312">
        <v>10</v>
      </c>
      <c r="N12" s="301">
        <v>2695.4753530241755</v>
      </c>
      <c r="O12" s="301">
        <v>2088.6357300817526</v>
      </c>
      <c r="P12" s="301">
        <v>1477.6527659501835</v>
      </c>
      <c r="Q12" s="301">
        <v>845.31949681726951</v>
      </c>
      <c r="R12" s="301">
        <v>211.59093167462311</v>
      </c>
      <c r="S12" s="301">
        <v>-422.13763346802307</v>
      </c>
      <c r="T12" s="301">
        <v>-1055.8661986106695</v>
      </c>
      <c r="U12" s="301">
        <v>-1689.5947637533163</v>
      </c>
      <c r="V12" s="301">
        <v>-2323.3233288959636</v>
      </c>
      <c r="W12" s="301">
        <v>-2957.0518940386087</v>
      </c>
      <c r="X12" s="307">
        <v>-3590.7804591812551</v>
      </c>
      <c r="Z12" s="356" t="s">
        <v>330</v>
      </c>
      <c r="AA12" s="312">
        <v>10</v>
      </c>
      <c r="AB12" s="301">
        <v>3771.8153949711191</v>
      </c>
      <c r="AC12" s="301">
        <v>2949.5712688105027</v>
      </c>
      <c r="AD12" s="301">
        <v>2124.391834790044</v>
      </c>
      <c r="AE12" s="301">
        <v>1291.10282224922</v>
      </c>
      <c r="AF12" s="301">
        <v>421.29143499811209</v>
      </c>
      <c r="AG12" s="301">
        <v>-448.51995225299879</v>
      </c>
      <c r="AH12" s="301">
        <v>-1318.3313395041082</v>
      </c>
      <c r="AI12" s="301">
        <v>-2188.1427267552172</v>
      </c>
      <c r="AJ12" s="301">
        <v>-3057.954114006327</v>
      </c>
      <c r="AK12" s="301">
        <v>-3927.7655012574364</v>
      </c>
      <c r="AL12" s="307">
        <v>-4797.5768885085463</v>
      </c>
      <c r="AN12" s="356"/>
      <c r="AO12" s="312">
        <v>10</v>
      </c>
      <c r="AP12" s="301">
        <v>2695.4513295931056</v>
      </c>
      <c r="AQ12" s="301">
        <v>2088.6136145014484</v>
      </c>
      <c r="AR12" s="301">
        <v>1477.6366817456353</v>
      </c>
      <c r="AS12" s="301">
        <v>845.31717651979091</v>
      </c>
      <c r="AT12" s="301">
        <v>211.58861137714388</v>
      </c>
      <c r="AU12" s="301">
        <v>-422.13995376550298</v>
      </c>
      <c r="AV12" s="301">
        <v>-1055.8685189081489</v>
      </c>
      <c r="AW12" s="301">
        <v>-1689.5970840507964</v>
      </c>
      <c r="AX12" s="301">
        <v>-2323.3256491934403</v>
      </c>
      <c r="AY12" s="301">
        <v>-2957.0542143360876</v>
      </c>
      <c r="AZ12" s="307">
        <v>-3590.7827794787345</v>
      </c>
    </row>
    <row r="13" spans="2:52" x14ac:dyDescent="0.25">
      <c r="B13" s="15" t="s">
        <v>27</v>
      </c>
      <c r="C13" s="278">
        <v>0.1</v>
      </c>
      <c r="D13" s="278">
        <v>1</v>
      </c>
      <c r="F13" s="15"/>
      <c r="G13" s="357" t="s">
        <v>405</v>
      </c>
      <c r="H13" s="357"/>
      <c r="I13" s="357"/>
      <c r="J13" s="357"/>
      <c r="K13" s="341"/>
      <c r="L13" s="356" t="s">
        <v>330</v>
      </c>
      <c r="M13" s="290">
        <v>12</v>
      </c>
      <c r="N13" s="302">
        <v>2481.345052558117</v>
      </c>
      <c r="O13" s="302">
        <v>1751.0825598823676</v>
      </c>
      <c r="P13" s="302">
        <v>999.87874568804637</v>
      </c>
      <c r="Q13" s="302">
        <v>239.40446751687111</v>
      </c>
      <c r="R13" s="302">
        <v>-521.06981065430477</v>
      </c>
      <c r="S13" s="302">
        <v>-1281.5440888254809</v>
      </c>
      <c r="T13" s="302">
        <v>-2042.0183669966561</v>
      </c>
      <c r="U13" s="302">
        <v>-2802.492645167833</v>
      </c>
      <c r="V13" s="302">
        <v>-3562.9669233390096</v>
      </c>
      <c r="W13" s="302">
        <v>-4323.4412015101834</v>
      </c>
      <c r="X13" s="308">
        <v>-5083.9154796813591</v>
      </c>
      <c r="Z13" s="356" t="s">
        <v>330</v>
      </c>
      <c r="AA13" s="290">
        <v>12</v>
      </c>
      <c r="AB13" s="302">
        <v>3478.7298775857607</v>
      </c>
      <c r="AC13" s="302">
        <v>2490.4574673675102</v>
      </c>
      <c r="AD13" s="302">
        <v>1494.5802297221526</v>
      </c>
      <c r="AE13" s="302">
        <v>456.08151543423645</v>
      </c>
      <c r="AF13" s="302">
        <v>-587.69214926709378</v>
      </c>
      <c r="AG13" s="302">
        <v>-1631.4658139684254</v>
      </c>
      <c r="AH13" s="302">
        <v>-2675.2394786697564</v>
      </c>
      <c r="AI13" s="302">
        <v>-3719.0131433710885</v>
      </c>
      <c r="AJ13" s="302">
        <v>-4762.7868080724184</v>
      </c>
      <c r="AK13" s="302">
        <v>-5806.5604727737482</v>
      </c>
      <c r="AL13" s="308">
        <v>-6850.3341374750817</v>
      </c>
      <c r="AN13" s="356"/>
      <c r="AO13" s="290">
        <v>12</v>
      </c>
      <c r="AP13" s="302">
        <v>2481.3209166742463</v>
      </c>
      <c r="AQ13" s="302">
        <v>1751.0636295251097</v>
      </c>
      <c r="AR13" s="302">
        <v>999.87630238840336</v>
      </c>
      <c r="AS13" s="302">
        <v>239.40202421722802</v>
      </c>
      <c r="AT13" s="302">
        <v>-521.07225395394744</v>
      </c>
      <c r="AU13" s="302">
        <v>-1281.5465321251236</v>
      </c>
      <c r="AV13" s="302">
        <v>-2042.0208102962988</v>
      </c>
      <c r="AW13" s="302">
        <v>-2802.4950884674745</v>
      </c>
      <c r="AX13" s="302">
        <v>-3562.9693666386515</v>
      </c>
      <c r="AY13" s="302">
        <v>-4323.4436448098268</v>
      </c>
      <c r="AZ13" s="308">
        <v>-5083.9179229810034</v>
      </c>
    </row>
    <row r="14" spans="2:52" x14ac:dyDescent="0.25">
      <c r="B14" s="276" t="s">
        <v>14</v>
      </c>
      <c r="C14" s="277">
        <v>0</v>
      </c>
      <c r="D14" s="277">
        <v>0</v>
      </c>
      <c r="F14" s="15"/>
      <c r="G14" s="279" t="s">
        <v>177</v>
      </c>
      <c r="H14" s="279" t="s">
        <v>32</v>
      </c>
      <c r="I14" s="279" t="s">
        <v>9</v>
      </c>
      <c r="J14" s="279" t="s">
        <v>399</v>
      </c>
      <c r="K14" s="338"/>
      <c r="L14" s="356" t="s">
        <v>314</v>
      </c>
      <c r="M14" s="310">
        <v>6</v>
      </c>
      <c r="N14" s="299">
        <v>1914.7467864923485</v>
      </c>
      <c r="O14" s="299">
        <v>1554.1051775069548</v>
      </c>
      <c r="P14" s="299">
        <v>1193.4650531300863</v>
      </c>
      <c r="Q14" s="299">
        <v>832.69432503331552</v>
      </c>
      <c r="R14" s="299">
        <v>471.7122583382137</v>
      </c>
      <c r="S14" s="299">
        <v>109.83978405986871</v>
      </c>
      <c r="T14" s="299">
        <v>-263.38336788864945</v>
      </c>
      <c r="U14" s="299">
        <v>-643.62050697423797</v>
      </c>
      <c r="V14" s="299">
        <v>-1023.8576460598256</v>
      </c>
      <c r="W14" s="299">
        <v>-1404.0947851454127</v>
      </c>
      <c r="X14" s="305">
        <v>-1784.3319242310024</v>
      </c>
      <c r="Z14" s="356" t="s">
        <v>314</v>
      </c>
      <c r="AA14" s="310">
        <v>6</v>
      </c>
      <c r="AB14" s="299">
        <v>2751.2189746901549</v>
      </c>
      <c r="AC14" s="299">
        <v>2260.9099403533664</v>
      </c>
      <c r="AD14" s="299">
        <v>1770.6009060165779</v>
      </c>
      <c r="AE14" s="299">
        <v>1280.2918716797899</v>
      </c>
      <c r="AF14" s="299">
        <v>789.98283734300094</v>
      </c>
      <c r="AG14" s="299">
        <v>299.67380300621221</v>
      </c>
      <c r="AH14" s="299">
        <v>-177.17951761084066</v>
      </c>
      <c r="AI14" s="299">
        <v>-699.0663499615066</v>
      </c>
      <c r="AJ14" s="299">
        <v>-1220.9531823121722</v>
      </c>
      <c r="AK14" s="299">
        <v>-1742.8400146628376</v>
      </c>
      <c r="AL14" s="305">
        <v>-2264.7268470135032</v>
      </c>
      <c r="AN14" s="356" t="s">
        <v>396</v>
      </c>
      <c r="AO14" s="310">
        <v>6</v>
      </c>
      <c r="AP14" s="299">
        <v>3442.5431612352072</v>
      </c>
      <c r="AQ14" s="299">
        <v>3080.1622389990534</v>
      </c>
      <c r="AR14" s="299">
        <v>2717.280896255083</v>
      </c>
      <c r="AS14" s="299">
        <v>2353.7489846232543</v>
      </c>
      <c r="AT14" s="299">
        <v>1989.4021236147073</v>
      </c>
      <c r="AU14" s="299">
        <v>1623.6384057297203</v>
      </c>
      <c r="AV14" s="299">
        <v>1254.9528991903685</v>
      </c>
      <c r="AW14" s="299">
        <v>874.71576010477986</v>
      </c>
      <c r="AX14" s="299">
        <v>494.47862101919264</v>
      </c>
      <c r="AY14" s="299">
        <v>114.24148193360486</v>
      </c>
      <c r="AZ14" s="305">
        <v>-265.99565715198321</v>
      </c>
    </row>
    <row r="15" spans="2:52" x14ac:dyDescent="0.25">
      <c r="B15" s="15" t="s">
        <v>45</v>
      </c>
      <c r="C15" s="57">
        <v>1026</v>
      </c>
      <c r="D15" s="57" t="s">
        <v>407</v>
      </c>
      <c r="F15" s="343" t="s">
        <v>400</v>
      </c>
      <c r="G15" s="344">
        <f>3.7*10^-1</f>
        <v>0.37000000000000005</v>
      </c>
      <c r="H15" s="344">
        <v>1.4999999999999999E-2</v>
      </c>
      <c r="I15" s="344">
        <v>365</v>
      </c>
      <c r="J15" s="344">
        <f>SUM(G15:I15)</f>
        <v>365.38499999999999</v>
      </c>
      <c r="K15" s="338"/>
      <c r="L15" s="356" t="s">
        <v>314</v>
      </c>
      <c r="M15" s="311">
        <v>8</v>
      </c>
      <c r="N15" s="300">
        <v>1914.7467864923485</v>
      </c>
      <c r="O15" s="300">
        <v>1433.8913078451565</v>
      </c>
      <c r="P15" s="300">
        <v>953.019887736182</v>
      </c>
      <c r="Q15" s="300">
        <v>471.71225833821359</v>
      </c>
      <c r="R15" s="300">
        <v>-11.079908710318819</v>
      </c>
      <c r="S15" s="300">
        <v>-516.87479394570869</v>
      </c>
      <c r="T15" s="300">
        <v>-1023.8576460598254</v>
      </c>
      <c r="U15" s="300">
        <v>-1530.840498173942</v>
      </c>
      <c r="V15" s="300">
        <v>-2037.8233502880596</v>
      </c>
      <c r="W15" s="300">
        <v>-2544.8062024021765</v>
      </c>
      <c r="X15" s="306">
        <v>-3051.7890545162941</v>
      </c>
      <c r="Z15" s="356" t="s">
        <v>314</v>
      </c>
      <c r="AA15" s="311">
        <v>8</v>
      </c>
      <c r="AB15" s="300">
        <v>2751.2189746901549</v>
      </c>
      <c r="AC15" s="300">
        <v>2097.4735955744377</v>
      </c>
      <c r="AD15" s="300">
        <v>1443.7282164587186</v>
      </c>
      <c r="AE15" s="300">
        <v>789.98283734300094</v>
      </c>
      <c r="AF15" s="300">
        <v>136.23777849602084</v>
      </c>
      <c r="AG15" s="300">
        <v>-525.10407251128424</v>
      </c>
      <c r="AH15" s="300">
        <v>-1220.953182312172</v>
      </c>
      <c r="AI15" s="300">
        <v>-1916.8022921130598</v>
      </c>
      <c r="AJ15" s="300">
        <v>-2612.6514019139477</v>
      </c>
      <c r="AK15" s="300">
        <v>-3308.5005117148339</v>
      </c>
      <c r="AL15" s="306">
        <v>-4004.3496215157215</v>
      </c>
      <c r="AN15" s="356"/>
      <c r="AO15" s="311">
        <v>8</v>
      </c>
      <c r="AP15" s="300">
        <v>3336.0025163702035</v>
      </c>
      <c r="AQ15" s="300">
        <v>2852.4160652346432</v>
      </c>
      <c r="AR15" s="300">
        <v>2367.9237018635595</v>
      </c>
      <c r="AS15" s="300">
        <v>1881.8024577275478</v>
      </c>
      <c r="AT15" s="300">
        <v>1392.8575369227299</v>
      </c>
      <c r="AU15" s="300">
        <v>888.62240502373993</v>
      </c>
      <c r="AV15" s="300">
        <v>381.63955290962258</v>
      </c>
      <c r="AW15" s="300">
        <v>-125.34329920449363</v>
      </c>
      <c r="AX15" s="300">
        <v>-632.32615131861212</v>
      </c>
      <c r="AY15" s="300">
        <v>-1139.3090034327283</v>
      </c>
      <c r="AZ15" s="306">
        <v>-1646.2918555468457</v>
      </c>
    </row>
    <row r="16" spans="2:52" x14ac:dyDescent="0.25">
      <c r="B16" s="276" t="s">
        <v>411</v>
      </c>
      <c r="C16" s="277">
        <v>3.0000000000000001E-3</v>
      </c>
      <c r="D16" s="277">
        <v>7.0000000000000001E-3</v>
      </c>
      <c r="F16" s="339" t="s">
        <v>401</v>
      </c>
      <c r="G16" s="342">
        <f>1.15*10^-5</f>
        <v>1.15E-5</v>
      </c>
      <c r="H16" s="342">
        <v>3.7500000000000001E-7</v>
      </c>
      <c r="I16" s="342">
        <f>2.06*10^-6</f>
        <v>2.0599999999999998E-6</v>
      </c>
      <c r="J16" s="342">
        <f t="shared" ref="J16:J17" si="2">SUM(G16:I16)</f>
        <v>1.3935000000000001E-5</v>
      </c>
      <c r="K16" s="338"/>
      <c r="L16" s="356" t="s">
        <v>314</v>
      </c>
      <c r="M16" s="312">
        <v>10</v>
      </c>
      <c r="N16" s="301">
        <v>1914.7467864923485</v>
      </c>
      <c r="O16" s="301">
        <v>1313.6793812853127</v>
      </c>
      <c r="P16" s="301">
        <v>712.36876233044939</v>
      </c>
      <c r="Q16" s="301">
        <v>109.83978405986889</v>
      </c>
      <c r="R16" s="301">
        <v>-516.87479394570869</v>
      </c>
      <c r="S16" s="301">
        <v>-1150.6033590883549</v>
      </c>
      <c r="T16" s="301">
        <v>-1784.331924231001</v>
      </c>
      <c r="U16" s="301">
        <v>-2418.060489373649</v>
      </c>
      <c r="V16" s="301">
        <v>-3051.7890545162941</v>
      </c>
      <c r="W16" s="301">
        <v>-3685.5176196589405</v>
      </c>
      <c r="X16" s="307">
        <v>-4319.2461848015864</v>
      </c>
      <c r="Z16" s="356" t="s">
        <v>314</v>
      </c>
      <c r="AA16" s="312">
        <v>10</v>
      </c>
      <c r="AB16" s="301">
        <v>2751.2189746901549</v>
      </c>
      <c r="AC16" s="301">
        <v>1934.0372507955067</v>
      </c>
      <c r="AD16" s="301">
        <v>1116.8555269008598</v>
      </c>
      <c r="AE16" s="301">
        <v>299.67428541943019</v>
      </c>
      <c r="AF16" s="301">
        <v>-525.10407251128436</v>
      </c>
      <c r="AG16" s="301">
        <v>-1394.9154597623942</v>
      </c>
      <c r="AH16" s="301">
        <v>-2264.7268470135036</v>
      </c>
      <c r="AI16" s="301">
        <v>-3134.5382342646139</v>
      </c>
      <c r="AJ16" s="301">
        <v>-4004.3496215157215</v>
      </c>
      <c r="AK16" s="301">
        <v>-4874.1610087668314</v>
      </c>
      <c r="AL16" s="307">
        <v>-5743.9723960179399</v>
      </c>
      <c r="AN16" s="356"/>
      <c r="AO16" s="312">
        <v>10</v>
      </c>
      <c r="AP16" s="301">
        <v>3229.4602283325698</v>
      </c>
      <c r="AQ16" s="301">
        <v>2624.5781052182019</v>
      </c>
      <c r="AR16" s="301">
        <v>2017.7476243587892</v>
      </c>
      <c r="AS16" s="301">
        <v>1406.9872941000658</v>
      </c>
      <c r="AT16" s="301">
        <v>775.78333691417049</v>
      </c>
      <c r="AU16" s="301">
        <v>142.05477177152423</v>
      </c>
      <c r="AV16" s="301">
        <v>-491.67379337112209</v>
      </c>
      <c r="AW16" s="301">
        <v>-1125.4023585137688</v>
      </c>
      <c r="AX16" s="301">
        <v>-1759.1309236564143</v>
      </c>
      <c r="AY16" s="301">
        <v>-2392.8594887990603</v>
      </c>
      <c r="AZ16" s="307">
        <v>-3026.5880539417071</v>
      </c>
    </row>
    <row r="17" spans="2:52" x14ac:dyDescent="0.25">
      <c r="B17" s="15" t="s">
        <v>39</v>
      </c>
      <c r="C17" s="57">
        <v>10</v>
      </c>
      <c r="D17" s="57">
        <v>33</v>
      </c>
      <c r="F17" s="156" t="s">
        <v>402</v>
      </c>
      <c r="G17" s="345">
        <f>3.19*10^-4</f>
        <v>3.19E-4</v>
      </c>
      <c r="H17" s="345">
        <v>1.5999999999999999E-5</v>
      </c>
      <c r="I17" s="345">
        <f>7.47*10^-6</f>
        <v>7.4699999999999996E-6</v>
      </c>
      <c r="J17" s="345">
        <f t="shared" si="2"/>
        <v>3.4246999999999999E-4</v>
      </c>
      <c r="K17" s="341"/>
      <c r="L17" s="356" t="s">
        <v>314</v>
      </c>
      <c r="M17" s="290">
        <v>12</v>
      </c>
      <c r="N17" s="302">
        <v>1914.7467864923485</v>
      </c>
      <c r="O17" s="302">
        <v>1193.4650531300863</v>
      </c>
      <c r="P17" s="302">
        <v>471.71225833821376</v>
      </c>
      <c r="Q17" s="302">
        <v>-263.38336788864945</v>
      </c>
      <c r="R17" s="302">
        <v>-1023.8576460598251</v>
      </c>
      <c r="S17" s="302">
        <v>-1784.331924231001</v>
      </c>
      <c r="T17" s="302">
        <v>-2544.806202402176</v>
      </c>
      <c r="U17" s="302">
        <v>-3305.2804805733535</v>
      </c>
      <c r="V17" s="302">
        <v>-4065.7547587445288</v>
      </c>
      <c r="W17" s="302">
        <v>-4826.2290369157054</v>
      </c>
      <c r="X17" s="308">
        <v>-5586.7033150868783</v>
      </c>
      <c r="Z17" s="356" t="s">
        <v>314</v>
      </c>
      <c r="AA17" s="290">
        <v>12</v>
      </c>
      <c r="AB17" s="302">
        <v>2751.2189746901549</v>
      </c>
      <c r="AC17" s="302">
        <v>1770.6009060165779</v>
      </c>
      <c r="AD17" s="302">
        <v>789.9828373430006</v>
      </c>
      <c r="AE17" s="302">
        <v>-177.17951761084066</v>
      </c>
      <c r="AF17" s="302">
        <v>-1220.953182312172</v>
      </c>
      <c r="AG17" s="302">
        <v>-2264.7268470135032</v>
      </c>
      <c r="AH17" s="302">
        <v>-3308.5005117148339</v>
      </c>
      <c r="AI17" s="302">
        <v>-4352.2741764161656</v>
      </c>
      <c r="AJ17" s="302">
        <v>-5396.0478411174954</v>
      </c>
      <c r="AK17" s="302">
        <v>-6439.8215058188271</v>
      </c>
      <c r="AL17" s="308">
        <v>-7483.5951705201578</v>
      </c>
      <c r="AN17" s="356"/>
      <c r="AO17" s="290">
        <v>12</v>
      </c>
      <c r="AP17" s="302">
        <v>3122.6809583661529</v>
      </c>
      <c r="AQ17" s="302">
        <v>2396.2727231712829</v>
      </c>
      <c r="AR17" s="302">
        <v>1666.1132404812774</v>
      </c>
      <c r="AS17" s="302">
        <v>916.43569486166029</v>
      </c>
      <c r="AT17" s="302">
        <v>155.96141669048441</v>
      </c>
      <c r="AU17" s="302">
        <v>-604.51286148069175</v>
      </c>
      <c r="AV17" s="302">
        <v>-1364.9871396518665</v>
      </c>
      <c r="AW17" s="302">
        <v>-2125.4614178230436</v>
      </c>
      <c r="AX17" s="302">
        <v>-2885.9356959942193</v>
      </c>
      <c r="AY17" s="302">
        <v>-3646.4099741653945</v>
      </c>
      <c r="AZ17" s="308">
        <v>-4406.8842523365711</v>
      </c>
    </row>
    <row r="18" spans="2:52" x14ac:dyDescent="0.25">
      <c r="B18" s="276" t="s">
        <v>313</v>
      </c>
      <c r="C18" s="280">
        <v>74.768667923445747</v>
      </c>
      <c r="D18" s="280" t="s">
        <v>407</v>
      </c>
      <c r="F18" s="15"/>
      <c r="G18" s="358" t="s">
        <v>406</v>
      </c>
      <c r="H18" s="358"/>
      <c r="I18" s="358"/>
      <c r="J18" s="358"/>
      <c r="K18" s="341"/>
      <c r="L18" s="356" t="s">
        <v>331</v>
      </c>
      <c r="M18" s="310">
        <v>6</v>
      </c>
      <c r="N18" s="299">
        <v>1924.9626236279557</v>
      </c>
      <c r="O18" s="299">
        <v>1564.585847374439</v>
      </c>
      <c r="P18" s="299">
        <v>1203.8456122235364</v>
      </c>
      <c r="Q18" s="299">
        <v>842.55939023943108</v>
      </c>
      <c r="R18" s="299">
        <v>479.46998310563617</v>
      </c>
      <c r="S18" s="299">
        <v>116.22453483521153</v>
      </c>
      <c r="T18" s="299">
        <v>-201.77252026944558</v>
      </c>
      <c r="U18" s="299">
        <v>-530.85767552746961</v>
      </c>
      <c r="V18" s="299">
        <v>-911.09481461305677</v>
      </c>
      <c r="W18" s="299">
        <v>-1291.3319536986437</v>
      </c>
      <c r="X18" s="305">
        <v>-1671.5690927842338</v>
      </c>
      <c r="Z18" s="356" t="s">
        <v>331</v>
      </c>
      <c r="AA18" s="310">
        <v>6</v>
      </c>
      <c r="AB18" s="299">
        <v>2767.4087165672508</v>
      </c>
      <c r="AC18" s="299">
        <v>2274.9474528168121</v>
      </c>
      <c r="AD18" s="299">
        <v>1781.6647242761933</v>
      </c>
      <c r="AE18" s="299">
        <v>1287.9880810036861</v>
      </c>
      <c r="AF18" s="299">
        <v>793.03553918993316</v>
      </c>
      <c r="AG18" s="299">
        <v>296.58610765410077</v>
      </c>
      <c r="AH18" s="299">
        <v>-164.54007883797578</v>
      </c>
      <c r="AI18" s="299">
        <v>-575.42339911839713</v>
      </c>
      <c r="AJ18" s="299">
        <v>-1054.7352324159087</v>
      </c>
      <c r="AK18" s="299">
        <v>-1576.6220647665741</v>
      </c>
      <c r="AL18" s="305">
        <v>-2098.5088971172399</v>
      </c>
      <c r="AN18" s="359" t="s">
        <v>398</v>
      </c>
      <c r="AO18" s="360"/>
      <c r="AP18" s="361" t="s">
        <v>329</v>
      </c>
      <c r="AQ18" s="362"/>
      <c r="AR18" s="362"/>
      <c r="AS18" s="362"/>
      <c r="AT18" s="362"/>
      <c r="AU18" s="362"/>
      <c r="AV18" s="362"/>
      <c r="AW18" s="362"/>
      <c r="AX18" s="362"/>
      <c r="AY18" s="362"/>
      <c r="AZ18" s="363"/>
    </row>
    <row r="19" spans="2:52" x14ac:dyDescent="0.25">
      <c r="B19" s="15" t="s">
        <v>412</v>
      </c>
      <c r="C19" s="57">
        <v>20</v>
      </c>
      <c r="D19" s="57">
        <v>20</v>
      </c>
      <c r="F19" s="15"/>
      <c r="G19" s="346" t="s">
        <v>177</v>
      </c>
      <c r="H19" s="346" t="s">
        <v>32</v>
      </c>
      <c r="I19" s="346" t="s">
        <v>9</v>
      </c>
      <c r="J19" s="346" t="s">
        <v>399</v>
      </c>
      <c r="K19" s="338"/>
      <c r="L19" s="356" t="s">
        <v>331</v>
      </c>
      <c r="M19" s="311">
        <v>8</v>
      </c>
      <c r="N19" s="300">
        <v>1924.9626236279557</v>
      </c>
      <c r="O19" s="300">
        <v>1444.3479602484313</v>
      </c>
      <c r="P19" s="300">
        <v>963.03543827589351</v>
      </c>
      <c r="Q19" s="300">
        <v>479.469983105636</v>
      </c>
      <c r="R19" s="300">
        <v>-3.958363473479082</v>
      </c>
      <c r="S19" s="300">
        <v>-414.77327181525283</v>
      </c>
      <c r="T19" s="300">
        <v>-911.09481461305688</v>
      </c>
      <c r="U19" s="300">
        <v>-1418.0776667271737</v>
      </c>
      <c r="V19" s="300">
        <v>-1925.0605188412915</v>
      </c>
      <c r="W19" s="300">
        <v>-2432.0433709554077</v>
      </c>
      <c r="X19" s="306">
        <v>-2939.0262230695257</v>
      </c>
      <c r="Z19" s="356" t="s">
        <v>331</v>
      </c>
      <c r="AA19" s="311">
        <v>8</v>
      </c>
      <c r="AB19" s="300">
        <v>2767.4087165672508</v>
      </c>
      <c r="AC19" s="300">
        <v>2110.6220303033242</v>
      </c>
      <c r="AD19" s="300">
        <v>1452.7074182490644</v>
      </c>
      <c r="AE19" s="300">
        <v>793.03553918993271</v>
      </c>
      <c r="AF19" s="300">
        <v>130.47079284192344</v>
      </c>
      <c r="AG19" s="300">
        <v>-437.0667999463513</v>
      </c>
      <c r="AH19" s="300">
        <v>-1054.7352324159087</v>
      </c>
      <c r="AI19" s="300">
        <v>-1750.584342216797</v>
      </c>
      <c r="AJ19" s="300">
        <v>-2446.4334520176844</v>
      </c>
      <c r="AK19" s="300">
        <v>-3142.2825618185707</v>
      </c>
      <c r="AL19" s="306">
        <v>-3838.1316716194583</v>
      </c>
      <c r="AN19" s="360"/>
      <c r="AO19" s="360"/>
      <c r="AP19" s="303">
        <v>0</v>
      </c>
      <c r="AQ19" s="298">
        <v>1</v>
      </c>
      <c r="AR19" s="298">
        <v>2</v>
      </c>
      <c r="AS19" s="298">
        <v>3</v>
      </c>
      <c r="AT19" s="298">
        <v>4</v>
      </c>
      <c r="AU19" s="298">
        <v>5</v>
      </c>
      <c r="AV19" s="298">
        <v>6</v>
      </c>
      <c r="AW19" s="298">
        <v>7</v>
      </c>
      <c r="AX19" s="298">
        <v>8</v>
      </c>
      <c r="AY19" s="298">
        <v>9</v>
      </c>
      <c r="AZ19" s="304">
        <v>10</v>
      </c>
    </row>
    <row r="20" spans="2:52" x14ac:dyDescent="0.25">
      <c r="B20" s="276" t="s">
        <v>413</v>
      </c>
      <c r="C20" s="280" t="s">
        <v>419</v>
      </c>
      <c r="D20" s="280" t="s">
        <v>419</v>
      </c>
      <c r="F20" s="343" t="s">
        <v>400</v>
      </c>
      <c r="G20" s="344">
        <v>0.51</v>
      </c>
      <c r="H20" s="344">
        <v>1.9400000000000001E-2</v>
      </c>
      <c r="I20" s="344">
        <v>47.1</v>
      </c>
      <c r="J20" s="344">
        <f>SUM(G20:I20)</f>
        <v>47.629400000000004</v>
      </c>
      <c r="L20" s="356" t="s">
        <v>331</v>
      </c>
      <c r="M20" s="312">
        <v>10</v>
      </c>
      <c r="N20" s="301">
        <v>1924.9626236279557</v>
      </c>
      <c r="O20" s="301">
        <v>1324.110073122423</v>
      </c>
      <c r="P20" s="301">
        <v>721.63411196700224</v>
      </c>
      <c r="Q20" s="301">
        <v>116.22453483521132</v>
      </c>
      <c r="R20" s="301">
        <v>-414.77374728857649</v>
      </c>
      <c r="S20" s="301">
        <v>-1037.8405276415863</v>
      </c>
      <c r="T20" s="301">
        <v>-1671.5690927842327</v>
      </c>
      <c r="U20" s="301">
        <v>-2305.2976579268802</v>
      </c>
      <c r="V20" s="301">
        <v>-2939.0262230695253</v>
      </c>
      <c r="W20" s="301">
        <v>-3572.7547882121717</v>
      </c>
      <c r="X20" s="307">
        <v>-4206.4833533548181</v>
      </c>
      <c r="Z20" s="356" t="s">
        <v>331</v>
      </c>
      <c r="AA20" s="312">
        <v>10</v>
      </c>
      <c r="AB20" s="301">
        <v>2767.4087165672508</v>
      </c>
      <c r="AC20" s="301">
        <v>1946.1433772897583</v>
      </c>
      <c r="AD20" s="301">
        <v>1123.1114279855562</v>
      </c>
      <c r="AE20" s="301">
        <v>296.58610765410049</v>
      </c>
      <c r="AF20" s="301">
        <v>-437.06650998722887</v>
      </c>
      <c r="AG20" s="301">
        <v>-1228.6975098661312</v>
      </c>
      <c r="AH20" s="301">
        <v>-2098.5088971172404</v>
      </c>
      <c r="AI20" s="301">
        <v>-2968.3202843683507</v>
      </c>
      <c r="AJ20" s="301">
        <v>-3838.1316716194583</v>
      </c>
      <c r="AK20" s="301">
        <v>-4707.9430588705682</v>
      </c>
      <c r="AL20" s="307">
        <v>-5577.7544461216776</v>
      </c>
      <c r="AN20" s="340" t="s">
        <v>393</v>
      </c>
      <c r="AO20" s="340" t="s">
        <v>381</v>
      </c>
      <c r="AP20" s="364" t="s">
        <v>332</v>
      </c>
      <c r="AQ20" s="354"/>
      <c r="AR20" s="354"/>
      <c r="AS20" s="354"/>
      <c r="AT20" s="354"/>
      <c r="AU20" s="354"/>
      <c r="AV20" s="354"/>
      <c r="AW20" s="354"/>
      <c r="AX20" s="354"/>
      <c r="AY20" s="354"/>
      <c r="AZ20" s="354"/>
    </row>
    <row r="21" spans="2:52" x14ac:dyDescent="0.25">
      <c r="B21" s="18" t="s">
        <v>420</v>
      </c>
      <c r="C21" s="57">
        <v>6.45</v>
      </c>
      <c r="D21" s="57" t="s">
        <v>407</v>
      </c>
      <c r="F21" s="339" t="s">
        <v>401</v>
      </c>
      <c r="G21" s="342">
        <v>1.8199999999999999E-5</v>
      </c>
      <c r="H21" s="342">
        <v>4.8299999999999997E-7</v>
      </c>
      <c r="I21" s="342">
        <v>2.39E-6</v>
      </c>
      <c r="J21" s="342">
        <f t="shared" ref="J21:J22" si="3">SUM(G21:I21)</f>
        <v>2.1072999999999996E-5</v>
      </c>
      <c r="L21" s="356" t="s">
        <v>331</v>
      </c>
      <c r="M21" s="290">
        <v>12</v>
      </c>
      <c r="N21" s="302">
        <v>1924.9626236279557</v>
      </c>
      <c r="O21" s="302">
        <v>1203.8456122235364</v>
      </c>
      <c r="P21" s="302">
        <v>479.46998310563595</v>
      </c>
      <c r="Q21" s="302">
        <v>-201.77119656345732</v>
      </c>
      <c r="R21" s="302">
        <v>-911.09481461305688</v>
      </c>
      <c r="S21" s="302">
        <v>-1671.5690927842325</v>
      </c>
      <c r="T21" s="302">
        <v>-2432.0433709554077</v>
      </c>
      <c r="U21" s="302">
        <v>-3192.5176491265847</v>
      </c>
      <c r="V21" s="302">
        <v>-3952.9919272977604</v>
      </c>
      <c r="W21" s="302">
        <v>-4713.4662054689352</v>
      </c>
      <c r="X21" s="308">
        <v>-5473.9404836401109</v>
      </c>
      <c r="Z21" s="356" t="s">
        <v>331</v>
      </c>
      <c r="AA21" s="290">
        <v>12</v>
      </c>
      <c r="AB21" s="302">
        <v>2767.4087165672508</v>
      </c>
      <c r="AC21" s="302">
        <v>1781.6647242761933</v>
      </c>
      <c r="AD21" s="302">
        <v>793.03553918993305</v>
      </c>
      <c r="AE21" s="302">
        <v>-164.54007883797536</v>
      </c>
      <c r="AF21" s="302">
        <v>-1054.735232415909</v>
      </c>
      <c r="AG21" s="302">
        <v>-2098.5088971172399</v>
      </c>
      <c r="AH21" s="302">
        <v>-3142.2825618185707</v>
      </c>
      <c r="AI21" s="302">
        <v>-4186.0562265199023</v>
      </c>
      <c r="AJ21" s="302">
        <v>-5229.8298912212331</v>
      </c>
      <c r="AK21" s="302">
        <v>-6273.6035559225638</v>
      </c>
      <c r="AL21" s="308">
        <v>-7317.3772206238937</v>
      </c>
      <c r="AN21" s="356" t="s">
        <v>394</v>
      </c>
      <c r="AO21" s="310">
        <v>6</v>
      </c>
      <c r="AP21" s="299">
        <v>3478.7301015197454</v>
      </c>
      <c r="AQ21" s="299">
        <v>2985.0088817176925</v>
      </c>
      <c r="AR21" s="299">
        <v>2490.4578251998264</v>
      </c>
      <c r="AS21" s="299">
        <v>1994.1853455206274</v>
      </c>
      <c r="AT21" s="299">
        <v>1494.5805901184988</v>
      </c>
      <c r="AU21" s="299">
        <v>977.96871679139429</v>
      </c>
      <c r="AV21" s="299">
        <v>456.08188444072897</v>
      </c>
      <c r="AW21" s="299">
        <v>-65.804947909937709</v>
      </c>
      <c r="AX21" s="299">
        <v>-587.69178026060263</v>
      </c>
      <c r="AY21" s="299">
        <v>-1109.5786126112675</v>
      </c>
      <c r="AZ21" s="305">
        <v>-1631.4654449619334</v>
      </c>
    </row>
    <row r="22" spans="2:52" x14ac:dyDescent="0.25">
      <c r="B22" s="276" t="s">
        <v>414</v>
      </c>
      <c r="C22" s="280" t="s">
        <v>418</v>
      </c>
      <c r="D22" s="280" t="s">
        <v>418</v>
      </c>
      <c r="F22" s="156" t="s">
        <v>402</v>
      </c>
      <c r="G22" s="345">
        <v>4.57E-4</v>
      </c>
      <c r="H22" s="345">
        <v>2.0599999999999999E-5</v>
      </c>
      <c r="I22" s="345">
        <v>8.7600000000000008E-6</v>
      </c>
      <c r="J22" s="345">
        <f t="shared" si="3"/>
        <v>4.8636000000000003E-4</v>
      </c>
      <c r="L22" s="360">
        <v>2030</v>
      </c>
      <c r="M22" s="360"/>
      <c r="N22" s="361" t="s">
        <v>329</v>
      </c>
      <c r="O22" s="362"/>
      <c r="P22" s="362"/>
      <c r="Q22" s="362"/>
      <c r="R22" s="362"/>
      <c r="S22" s="362"/>
      <c r="T22" s="362"/>
      <c r="U22" s="362"/>
      <c r="V22" s="362"/>
      <c r="W22" s="362"/>
      <c r="X22" s="363"/>
      <c r="Z22" s="360">
        <v>2030</v>
      </c>
      <c r="AA22" s="360"/>
      <c r="AB22" s="361" t="s">
        <v>329</v>
      </c>
      <c r="AC22" s="362"/>
      <c r="AD22" s="362"/>
      <c r="AE22" s="362"/>
      <c r="AF22" s="362"/>
      <c r="AG22" s="362"/>
      <c r="AH22" s="362"/>
      <c r="AI22" s="362"/>
      <c r="AJ22" s="362"/>
      <c r="AK22" s="362"/>
      <c r="AL22" s="363"/>
      <c r="AN22" s="356"/>
      <c r="AO22" s="311">
        <v>8</v>
      </c>
      <c r="AP22" s="300">
        <v>2891.2894348165446</v>
      </c>
      <c r="AQ22" s="300">
        <v>2230.8360995615703</v>
      </c>
      <c r="AR22" s="300">
        <v>1565.4388685026715</v>
      </c>
      <c r="AS22" s="300">
        <v>873.58672321558925</v>
      </c>
      <c r="AT22" s="300">
        <v>177.7376134147022</v>
      </c>
      <c r="AU22" s="300">
        <v>-518.11149638618542</v>
      </c>
      <c r="AV22" s="300">
        <v>-1213.9606061870727</v>
      </c>
      <c r="AW22" s="300">
        <v>-1909.809715987961</v>
      </c>
      <c r="AX22" s="300">
        <v>-2605.6588257888484</v>
      </c>
      <c r="AY22" s="300">
        <v>-3301.5079355897356</v>
      </c>
      <c r="AZ22" s="306">
        <v>-3997.3570453906214</v>
      </c>
    </row>
    <row r="23" spans="2:52" x14ac:dyDescent="0.25">
      <c r="B23" s="18" t="s">
        <v>415</v>
      </c>
      <c r="C23" s="57" t="s">
        <v>407</v>
      </c>
      <c r="D23" s="57" t="s">
        <v>407</v>
      </c>
      <c r="L23" s="360"/>
      <c r="M23" s="360"/>
      <c r="N23" s="303">
        <v>0</v>
      </c>
      <c r="O23" s="298">
        <v>1</v>
      </c>
      <c r="P23" s="298">
        <v>2</v>
      </c>
      <c r="Q23" s="298">
        <v>3</v>
      </c>
      <c r="R23" s="298">
        <v>4</v>
      </c>
      <c r="S23" s="298">
        <v>5</v>
      </c>
      <c r="T23" s="298">
        <v>6</v>
      </c>
      <c r="U23" s="298">
        <v>7</v>
      </c>
      <c r="V23" s="298">
        <v>8</v>
      </c>
      <c r="W23" s="298">
        <v>9</v>
      </c>
      <c r="X23" s="304">
        <v>10</v>
      </c>
      <c r="Z23" s="360"/>
      <c r="AA23" s="360"/>
      <c r="AB23" s="303">
        <v>0</v>
      </c>
      <c r="AC23" s="298">
        <v>1</v>
      </c>
      <c r="AD23" s="298">
        <v>2</v>
      </c>
      <c r="AE23" s="298">
        <v>3</v>
      </c>
      <c r="AF23" s="298">
        <v>4</v>
      </c>
      <c r="AG23" s="298">
        <v>5</v>
      </c>
      <c r="AH23" s="298">
        <v>6</v>
      </c>
      <c r="AI23" s="298">
        <v>7</v>
      </c>
      <c r="AJ23" s="298">
        <v>8</v>
      </c>
      <c r="AK23" s="298">
        <v>9</v>
      </c>
      <c r="AL23" s="304">
        <v>10</v>
      </c>
      <c r="AN23" s="356"/>
      <c r="AO23" s="312">
        <v>10</v>
      </c>
      <c r="AP23" s="301">
        <v>2301.7987437406709</v>
      </c>
      <c r="AQ23" s="301">
        <v>1465.0538394406717</v>
      </c>
      <c r="AR23" s="301">
        <v>595.24245218956298</v>
      </c>
      <c r="AS23" s="301">
        <v>-274.56893506154637</v>
      </c>
      <c r="AT23" s="301">
        <v>-1144.3803223126556</v>
      </c>
      <c r="AU23" s="301">
        <v>-2014.1917095637639</v>
      </c>
      <c r="AV23" s="301">
        <v>-2884.0030968148722</v>
      </c>
      <c r="AW23" s="301">
        <v>-3753.8144840659847</v>
      </c>
      <c r="AX23" s="301">
        <v>-4623.6258713170928</v>
      </c>
      <c r="AY23" s="301">
        <v>-5493.4372585682013</v>
      </c>
      <c r="AZ23" s="307">
        <v>-6363.2486458193134</v>
      </c>
    </row>
    <row r="24" spans="2:52" x14ac:dyDescent="0.25">
      <c r="B24" s="276" t="s">
        <v>416</v>
      </c>
      <c r="C24" s="280" t="s">
        <v>407</v>
      </c>
      <c r="D24" s="280" t="s">
        <v>407</v>
      </c>
      <c r="L24" s="309" t="s">
        <v>333</v>
      </c>
      <c r="M24" s="331" t="s">
        <v>381</v>
      </c>
      <c r="N24" s="364" t="s">
        <v>332</v>
      </c>
      <c r="O24" s="354"/>
      <c r="P24" s="354"/>
      <c r="Q24" s="354"/>
      <c r="R24" s="354"/>
      <c r="S24" s="354"/>
      <c r="T24" s="354"/>
      <c r="U24" s="354"/>
      <c r="V24" s="354"/>
      <c r="W24" s="354"/>
      <c r="X24" s="354"/>
      <c r="Z24" s="334" t="s">
        <v>333</v>
      </c>
      <c r="AA24" s="334" t="s">
        <v>381</v>
      </c>
      <c r="AB24" s="364" t="s">
        <v>332</v>
      </c>
      <c r="AC24" s="354"/>
      <c r="AD24" s="354"/>
      <c r="AE24" s="354"/>
      <c r="AF24" s="354"/>
      <c r="AG24" s="354"/>
      <c r="AH24" s="354"/>
      <c r="AI24" s="354"/>
      <c r="AJ24" s="354"/>
      <c r="AK24" s="354"/>
      <c r="AL24" s="354"/>
      <c r="AN24" s="356"/>
      <c r="AO24" s="290">
        <v>12</v>
      </c>
      <c r="AP24" s="302">
        <v>1707.0666725536553</v>
      </c>
      <c r="AQ24" s="302">
        <v>664.82273606397848</v>
      </c>
      <c r="AR24" s="302">
        <v>-378.95092863735226</v>
      </c>
      <c r="AS24" s="302">
        <v>-1422.7245933386823</v>
      </c>
      <c r="AT24" s="302">
        <v>-2466.4982580400151</v>
      </c>
      <c r="AU24" s="302">
        <v>-3510.2719227413459</v>
      </c>
      <c r="AV24" s="302">
        <v>-4554.0455874426771</v>
      </c>
      <c r="AW24" s="302">
        <v>-5597.8192521440078</v>
      </c>
      <c r="AX24" s="302">
        <v>-6641.5929168453386</v>
      </c>
      <c r="AY24" s="302">
        <v>-7685.3665815466684</v>
      </c>
      <c r="AZ24" s="308">
        <v>-8729.1402462479982</v>
      </c>
    </row>
    <row r="25" spans="2:52" x14ac:dyDescent="0.25">
      <c r="B25" s="112" t="s">
        <v>417</v>
      </c>
      <c r="C25" s="281" t="s">
        <v>407</v>
      </c>
      <c r="D25" s="281" t="s">
        <v>407</v>
      </c>
      <c r="L25" s="356" t="s">
        <v>328</v>
      </c>
      <c r="M25" s="310">
        <v>6</v>
      </c>
      <c r="N25" s="299">
        <v>932.95788980703787</v>
      </c>
      <c r="O25" s="299">
        <v>593.00495510402811</v>
      </c>
      <c r="P25" s="299">
        <v>253.05383012340218</v>
      </c>
      <c r="Q25" s="299">
        <v>-70.815557068643869</v>
      </c>
      <c r="R25" s="299">
        <v>-347.8532753448161</v>
      </c>
      <c r="S25" s="299">
        <v>-625.04261893550392</v>
      </c>
      <c r="T25" s="299">
        <v>-915.92655468536304</v>
      </c>
      <c r="U25" s="299">
        <v>-1270.7753817424968</v>
      </c>
      <c r="V25" s="299">
        <v>-1626.6285488146084</v>
      </c>
      <c r="W25" s="299">
        <v>-1982.4817158867179</v>
      </c>
      <c r="X25" s="305">
        <v>-2338.3348829588303</v>
      </c>
      <c r="Z25" s="356" t="s">
        <v>328</v>
      </c>
      <c r="AA25" s="310">
        <v>6</v>
      </c>
      <c r="AB25" s="299">
        <v>1371.3727004935697</v>
      </c>
      <c r="AC25" s="299">
        <v>908.91373640571112</v>
      </c>
      <c r="AD25" s="299">
        <v>445.28999223222223</v>
      </c>
      <c r="AE25" s="299">
        <v>-14.940797167648356</v>
      </c>
      <c r="AF25" s="299">
        <v>-392.76353339715479</v>
      </c>
      <c r="AG25" s="299">
        <v>-770.58626962666222</v>
      </c>
      <c r="AH25" s="299">
        <v>-1152.0310406754513</v>
      </c>
      <c r="AI25" s="299">
        <v>-1594.0461872067231</v>
      </c>
      <c r="AJ25" s="299">
        <v>-2079.3570615371727</v>
      </c>
      <c r="AK25" s="299">
        <v>-2564.6679358676238</v>
      </c>
      <c r="AL25" s="305">
        <v>-3049.9788101980721</v>
      </c>
      <c r="AN25" s="356" t="s">
        <v>395</v>
      </c>
      <c r="AO25" s="310">
        <v>6</v>
      </c>
      <c r="AP25" s="299">
        <v>4357.9864297418353</v>
      </c>
      <c r="AQ25" s="299">
        <v>3865.2556158847115</v>
      </c>
      <c r="AR25" s="299">
        <v>3372.4826091664704</v>
      </c>
      <c r="AS25" s="299">
        <v>2878.6931374061314</v>
      </c>
      <c r="AT25" s="299">
        <v>2384.0614565813644</v>
      </c>
      <c r="AU25" s="299">
        <v>1887.7280015448214</v>
      </c>
      <c r="AV25" s="299">
        <v>1388.2929923440674</v>
      </c>
      <c r="AW25" s="299">
        <v>873.59810647652273</v>
      </c>
      <c r="AX25" s="299">
        <v>351.71127412585747</v>
      </c>
      <c r="AY25" s="299">
        <v>-170.17555822480767</v>
      </c>
      <c r="AZ25" s="305">
        <v>-692.06239057547396</v>
      </c>
    </row>
    <row r="26" spans="2:52" x14ac:dyDescent="0.25">
      <c r="D26" s="15"/>
      <c r="E26" s="15"/>
      <c r="F26" s="15"/>
      <c r="L26" s="356" t="s">
        <v>328</v>
      </c>
      <c r="M26" s="311">
        <v>8</v>
      </c>
      <c r="N26" s="300">
        <v>932.95788980703787</v>
      </c>
      <c r="O26" s="300">
        <v>479.68791344381907</v>
      </c>
      <c r="P26" s="300">
        <v>26.419746802991156</v>
      </c>
      <c r="Q26" s="300">
        <v>-347.85327534481451</v>
      </c>
      <c r="R26" s="300">
        <v>-718.95379783745182</v>
      </c>
      <c r="S26" s="300">
        <v>-1152.1576593851266</v>
      </c>
      <c r="T26" s="300">
        <v>-1626.6285488146077</v>
      </c>
      <c r="U26" s="300">
        <v>-2101.0994382440872</v>
      </c>
      <c r="V26" s="300">
        <v>-2575.5703276735694</v>
      </c>
      <c r="W26" s="300">
        <v>-3050.0412171030498</v>
      </c>
      <c r="X26" s="306">
        <v>-3524.512106532532</v>
      </c>
      <c r="Z26" s="356" t="s">
        <v>328</v>
      </c>
      <c r="AA26" s="311">
        <v>8</v>
      </c>
      <c r="AB26" s="300">
        <v>1371.3727004935697</v>
      </c>
      <c r="AC26" s="300">
        <v>754.37248834788238</v>
      </c>
      <c r="AD26" s="300">
        <v>136.20749611656291</v>
      </c>
      <c r="AE26" s="300">
        <v>-392.76353339715911</v>
      </c>
      <c r="AF26" s="300">
        <v>-896.65111019060316</v>
      </c>
      <c r="AG26" s="300">
        <v>-1432.2758957632404</v>
      </c>
      <c r="AH26" s="300">
        <v>-2079.3570615371732</v>
      </c>
      <c r="AI26" s="300">
        <v>-2726.4382273111064</v>
      </c>
      <c r="AJ26" s="300">
        <v>-3373.519393085041</v>
      </c>
      <c r="AK26" s="300">
        <v>-4020.6005588589719</v>
      </c>
      <c r="AL26" s="306">
        <v>-4667.6817246329056</v>
      </c>
      <c r="AN26" s="356"/>
      <c r="AO26" s="311">
        <v>8</v>
      </c>
      <c r="AP26" s="300">
        <v>4064.900912356477</v>
      </c>
      <c r="AQ26" s="300">
        <v>3407.9210714149149</v>
      </c>
      <c r="AR26" s="300">
        <v>2749.5280794061005</v>
      </c>
      <c r="AS26" s="300">
        <v>2088.9105724010692</v>
      </c>
      <c r="AT26" s="300">
        <v>1423.7220714700961</v>
      </c>
      <c r="AU26" s="300">
        <v>734.42590946242819</v>
      </c>
      <c r="AV26" s="300">
        <v>38.576799661540065</v>
      </c>
      <c r="AW26" s="300">
        <v>-657.2723101393475</v>
      </c>
      <c r="AX26" s="300">
        <v>-1353.1214199402345</v>
      </c>
      <c r="AY26" s="300">
        <v>-2048.9705297411215</v>
      </c>
      <c r="AZ26" s="306">
        <v>-2744.81963954201</v>
      </c>
    </row>
    <row r="27" spans="2:52" x14ac:dyDescent="0.25">
      <c r="B27" s="365" t="s">
        <v>383</v>
      </c>
      <c r="C27" s="365"/>
      <c r="D27" s="365"/>
      <c r="E27" s="313"/>
      <c r="F27" s="313"/>
      <c r="L27" s="356" t="s">
        <v>328</v>
      </c>
      <c r="M27" s="312">
        <v>10</v>
      </c>
      <c r="N27" s="301">
        <v>932.95788980703787</v>
      </c>
      <c r="O27" s="301">
        <v>366.37087178361338</v>
      </c>
      <c r="P27" s="301">
        <v>-163.16146316070211</v>
      </c>
      <c r="Q27" s="301">
        <v>-625.04231021642397</v>
      </c>
      <c r="R27" s="301">
        <v>-1152.1576593851264</v>
      </c>
      <c r="S27" s="301">
        <v>-1745.2462711719782</v>
      </c>
      <c r="T27" s="301">
        <v>-2338.334882958829</v>
      </c>
      <c r="U27" s="301">
        <v>-2931.4234947456807</v>
      </c>
      <c r="V27" s="301">
        <v>-3524.5121065325311</v>
      </c>
      <c r="W27" s="301">
        <v>-4117.6007183193824</v>
      </c>
      <c r="X27" s="307">
        <v>-4710.6893301062337</v>
      </c>
      <c r="Z27" s="356" t="s">
        <v>328</v>
      </c>
      <c r="AA27" s="312">
        <v>10</v>
      </c>
      <c r="AB27" s="301">
        <v>1371.3727004935697</v>
      </c>
      <c r="AC27" s="301">
        <v>599.83124029005251</v>
      </c>
      <c r="AD27" s="301">
        <v>-140.88170924415161</v>
      </c>
      <c r="AE27" s="301">
        <v>-770.58626806170992</v>
      </c>
      <c r="AF27" s="301">
        <v>-1432.27589576324</v>
      </c>
      <c r="AG27" s="301">
        <v>-2241.1273529806581</v>
      </c>
      <c r="AH27" s="301">
        <v>-3049.9788101980735</v>
      </c>
      <c r="AI27" s="301">
        <v>-3858.8302674154902</v>
      </c>
      <c r="AJ27" s="301">
        <v>-4667.6817246329065</v>
      </c>
      <c r="AK27" s="301">
        <v>-5476.5331818503219</v>
      </c>
      <c r="AL27" s="307">
        <v>-6285.384639067739</v>
      </c>
      <c r="AN27" s="356"/>
      <c r="AO27" s="312">
        <v>10</v>
      </c>
      <c r="AP27" s="301">
        <v>3771.8153949711191</v>
      </c>
      <c r="AQ27" s="301">
        <v>2949.5712688105027</v>
      </c>
      <c r="AR27" s="301">
        <v>2124.391834790044</v>
      </c>
      <c r="AS27" s="301">
        <v>1291.10282224922</v>
      </c>
      <c r="AT27" s="301">
        <v>421.29143499811209</v>
      </c>
      <c r="AU27" s="301">
        <v>-448.51995225299879</v>
      </c>
      <c r="AV27" s="301">
        <v>-1318.3313395041082</v>
      </c>
      <c r="AW27" s="301">
        <v>-2188.1427267552172</v>
      </c>
      <c r="AX27" s="301">
        <v>-3057.954114006327</v>
      </c>
      <c r="AY27" s="301">
        <v>-3927.7655012574364</v>
      </c>
      <c r="AZ27" s="307">
        <v>-4797.5768885085463</v>
      </c>
    </row>
    <row r="28" spans="2:52" x14ac:dyDescent="0.25">
      <c r="B28" s="48" t="s">
        <v>382</v>
      </c>
      <c r="C28" s="335" t="s">
        <v>308</v>
      </c>
      <c r="D28" s="335" t="s">
        <v>66</v>
      </c>
      <c r="E28" s="57"/>
      <c r="F28" s="57"/>
      <c r="L28" s="356" t="s">
        <v>328</v>
      </c>
      <c r="M28" s="290">
        <v>12</v>
      </c>
      <c r="N28" s="302">
        <v>932.95788980703787</v>
      </c>
      <c r="O28" s="302">
        <v>253.05383012340218</v>
      </c>
      <c r="P28" s="302">
        <v>-347.85327534481507</v>
      </c>
      <c r="Q28" s="302">
        <v>-915.92655468536304</v>
      </c>
      <c r="R28" s="302">
        <v>-1626.6285488146086</v>
      </c>
      <c r="S28" s="302">
        <v>-2338.3348829588294</v>
      </c>
      <c r="T28" s="302">
        <v>-3050.0412171030489</v>
      </c>
      <c r="U28" s="302">
        <v>-3761.747551247272</v>
      </c>
      <c r="V28" s="302">
        <v>-4473.4538853914937</v>
      </c>
      <c r="W28" s="302">
        <v>-5185.1602195357145</v>
      </c>
      <c r="X28" s="308">
        <v>-5896.8665536799354</v>
      </c>
      <c r="Z28" s="356" t="s">
        <v>328</v>
      </c>
      <c r="AA28" s="290">
        <v>12</v>
      </c>
      <c r="AB28" s="302">
        <v>1371.3727004935697</v>
      </c>
      <c r="AC28" s="302">
        <v>445.28999223222223</v>
      </c>
      <c r="AD28" s="302">
        <v>-392.76353339715615</v>
      </c>
      <c r="AE28" s="302">
        <v>-1152.0310406754522</v>
      </c>
      <c r="AF28" s="302">
        <v>-2079.3570615371732</v>
      </c>
      <c r="AG28" s="302">
        <v>-3049.9788101980739</v>
      </c>
      <c r="AH28" s="302">
        <v>-4020.6005588589724</v>
      </c>
      <c r="AI28" s="302">
        <v>-4991.2223075198744</v>
      </c>
      <c r="AJ28" s="302">
        <v>-5961.8440561807702</v>
      </c>
      <c r="AK28" s="302">
        <v>-6932.4658048416713</v>
      </c>
      <c r="AL28" s="308">
        <v>-7903.0875535025707</v>
      </c>
      <c r="AN28" s="356"/>
      <c r="AO28" s="290">
        <v>12</v>
      </c>
      <c r="AP28" s="302">
        <v>3478.7298775857607</v>
      </c>
      <c r="AQ28" s="302">
        <v>2490.4574673675102</v>
      </c>
      <c r="AR28" s="302">
        <v>1494.5802297221526</v>
      </c>
      <c r="AS28" s="302">
        <v>456.08151543423645</v>
      </c>
      <c r="AT28" s="302">
        <v>-587.69214926709378</v>
      </c>
      <c r="AU28" s="302">
        <v>-1631.4658139684254</v>
      </c>
      <c r="AV28" s="302">
        <v>-2675.2394786697564</v>
      </c>
      <c r="AW28" s="302">
        <v>-3719.0131433710885</v>
      </c>
      <c r="AX28" s="302">
        <v>-4762.7868080724184</v>
      </c>
      <c r="AY28" s="302">
        <v>-5806.5604727737482</v>
      </c>
      <c r="AZ28" s="308">
        <v>-6850.3341374750817</v>
      </c>
    </row>
    <row r="29" spans="2:52" x14ac:dyDescent="0.25">
      <c r="B29" s="48" t="s">
        <v>385</v>
      </c>
      <c r="C29" s="335">
        <v>142</v>
      </c>
      <c r="D29" s="335">
        <v>215</v>
      </c>
      <c r="E29" s="15"/>
      <c r="F29" s="15"/>
      <c r="L29" s="356" t="s">
        <v>330</v>
      </c>
      <c r="M29" s="310">
        <v>6</v>
      </c>
      <c r="N29" s="299">
        <v>2893.3552339561838</v>
      </c>
      <c r="O29" s="299">
        <v>2550.4007850478915</v>
      </c>
      <c r="P29" s="299">
        <v>2206.7441316109471</v>
      </c>
      <c r="Q29" s="299">
        <v>1857.9920132998814</v>
      </c>
      <c r="R29" s="299">
        <v>1502.13884622777</v>
      </c>
      <c r="S29" s="299">
        <v>1146.2856791556603</v>
      </c>
      <c r="T29" s="299">
        <v>790.43251208354911</v>
      </c>
      <c r="U29" s="299">
        <v>434.57934501143734</v>
      </c>
      <c r="V29" s="299">
        <v>78.726177939328068</v>
      </c>
      <c r="W29" s="299">
        <v>-277.12698913278268</v>
      </c>
      <c r="X29" s="305">
        <v>-632.98015620489355</v>
      </c>
      <c r="Z29" s="356" t="s">
        <v>330</v>
      </c>
      <c r="AA29" s="310">
        <v>6</v>
      </c>
      <c r="AB29" s="299">
        <v>4012.8389705104009</v>
      </c>
      <c r="AC29" s="299">
        <v>3550.8840185735089</v>
      </c>
      <c r="AD29" s="299">
        <v>3088.0562303228508</v>
      </c>
      <c r="AE29" s="299">
        <v>2624.7233086920774</v>
      </c>
      <c r="AF29" s="299">
        <v>2160.1111415741534</v>
      </c>
      <c r="AG29" s="299">
        <v>1693.6343277907206</v>
      </c>
      <c r="AH29" s="299">
        <v>1209.3763526310593</v>
      </c>
      <c r="AI29" s="299">
        <v>724.06547830060845</v>
      </c>
      <c r="AJ29" s="299">
        <v>238.75460397015945</v>
      </c>
      <c r="AK29" s="299">
        <v>-246.55627036029023</v>
      </c>
      <c r="AL29" s="305">
        <v>-731.86714469074059</v>
      </c>
      <c r="AN29" s="356" t="s">
        <v>396</v>
      </c>
      <c r="AO29" s="310">
        <v>6</v>
      </c>
      <c r="AP29" s="299">
        <v>4797.1189456776183</v>
      </c>
      <c r="AQ29" s="299">
        <v>4304.8837132489634</v>
      </c>
      <c r="AR29" s="299">
        <v>3812.1528993918396</v>
      </c>
      <c r="AS29" s="299">
        <v>3319.3247370106901</v>
      </c>
      <c r="AT29" s="299">
        <v>2825.5352652503502</v>
      </c>
      <c r="AU29" s="299">
        <v>2330.8613964577135</v>
      </c>
      <c r="AV29" s="299">
        <v>1834.4993295569186</v>
      </c>
      <c r="AW29" s="299">
        <v>1335.149193456851</v>
      </c>
      <c r="AX29" s="299">
        <v>821.41280131908741</v>
      </c>
      <c r="AY29" s="299">
        <v>299.52596896842203</v>
      </c>
      <c r="AZ29" s="305">
        <v>-222.36086338224391</v>
      </c>
    </row>
    <row r="30" spans="2:52" x14ac:dyDescent="0.25">
      <c r="B30" s="48" t="s">
        <v>384</v>
      </c>
      <c r="C30" s="335">
        <v>-2290</v>
      </c>
      <c r="D30" s="335">
        <v>-1114</v>
      </c>
      <c r="E30" s="15"/>
      <c r="F30" s="15"/>
      <c r="L30" s="356" t="s">
        <v>330</v>
      </c>
      <c r="M30" s="311">
        <v>8</v>
      </c>
      <c r="N30" s="300">
        <v>2677.5289025712077</v>
      </c>
      <c r="O30" s="300">
        <v>2219.3528047644236</v>
      </c>
      <c r="P30" s="300">
        <v>1751.2363768500661</v>
      </c>
      <c r="Q30" s="300">
        <v>1276.765487420585</v>
      </c>
      <c r="R30" s="300">
        <v>802.29459799110396</v>
      </c>
      <c r="S30" s="300">
        <v>327.82370856162282</v>
      </c>
      <c r="T30" s="300">
        <v>-146.64718086785854</v>
      </c>
      <c r="U30" s="300">
        <v>-621.11807029733825</v>
      </c>
      <c r="V30" s="300">
        <v>-1095.5889597268206</v>
      </c>
      <c r="W30" s="300">
        <v>-1570.0598491563005</v>
      </c>
      <c r="X30" s="306">
        <v>-2044.5307385857809</v>
      </c>
      <c r="Z30" s="356" t="s">
        <v>330</v>
      </c>
      <c r="AA30" s="311">
        <v>8</v>
      </c>
      <c r="AB30" s="300">
        <v>3719.1474943495273</v>
      </c>
      <c r="AC30" s="300">
        <v>3102.3066288355394</v>
      </c>
      <c r="AD30" s="300">
        <v>2484.1470122075325</v>
      </c>
      <c r="AE30" s="300">
        <v>1863.4593638760982</v>
      </c>
      <c r="AF30" s="300">
        <v>1222.4020438624909</v>
      </c>
      <c r="AG30" s="300">
        <v>575.32087808855806</v>
      </c>
      <c r="AH30" s="300">
        <v>-71.760287685374749</v>
      </c>
      <c r="AI30" s="300">
        <v>-718.84145345930915</v>
      </c>
      <c r="AJ30" s="300">
        <v>-1365.9226192332426</v>
      </c>
      <c r="AK30" s="300">
        <v>-2013.0037850071747</v>
      </c>
      <c r="AL30" s="306">
        <v>-2660.0849507811076</v>
      </c>
      <c r="AN30" s="356"/>
      <c r="AO30" s="311">
        <v>8</v>
      </c>
      <c r="AP30" s="300">
        <v>4650.8424221925634</v>
      </c>
      <c r="AQ30" s="300">
        <v>3994.0972903659817</v>
      </c>
      <c r="AR30" s="300">
        <v>3337.043908540541</v>
      </c>
      <c r="AS30" s="300">
        <v>2678.5971669937931</v>
      </c>
      <c r="AT30" s="300">
        <v>2017.9478088208186</v>
      </c>
      <c r="AU30" s="300">
        <v>1352.863672953808</v>
      </c>
      <c r="AV30" s="300">
        <v>664.84550258584602</v>
      </c>
      <c r="AW30" s="300">
        <v>-31.003607215040574</v>
      </c>
      <c r="AX30" s="300">
        <v>-726.85271701592876</v>
      </c>
      <c r="AY30" s="300">
        <v>-1422.7018268168154</v>
      </c>
      <c r="AZ30" s="306">
        <v>-2118.550936617703</v>
      </c>
    </row>
    <row r="31" spans="2:52" x14ac:dyDescent="0.25">
      <c r="L31" s="356" t="s">
        <v>330</v>
      </c>
      <c r="M31" s="312">
        <v>10</v>
      </c>
      <c r="N31" s="301">
        <v>2461.2684441836695</v>
      </c>
      <c r="O31" s="301">
        <v>1881.7161851149917</v>
      </c>
      <c r="P31" s="301">
        <v>1288.6275733281418</v>
      </c>
      <c r="Q31" s="301">
        <v>695.53896154128813</v>
      </c>
      <c r="R31" s="301">
        <v>102.45034975443764</v>
      </c>
      <c r="S31" s="301">
        <v>-490.63826203241342</v>
      </c>
      <c r="T31" s="301">
        <v>-1083.7268738192652</v>
      </c>
      <c r="U31" s="301">
        <v>-1676.815485606116</v>
      </c>
      <c r="V31" s="301">
        <v>-2269.9040973929673</v>
      </c>
      <c r="W31" s="301">
        <v>-2862.992709179819</v>
      </c>
      <c r="X31" s="307">
        <v>-3456.081320966669</v>
      </c>
      <c r="Z31" s="356" t="s">
        <v>330</v>
      </c>
      <c r="AA31" s="312">
        <v>10</v>
      </c>
      <c r="AB31" s="301">
        <v>3425.2674261914394</v>
      </c>
      <c r="AC31" s="301">
        <v>2653.1343824146679</v>
      </c>
      <c r="AD31" s="301">
        <v>1877.5269511439797</v>
      </c>
      <c r="AE31" s="301">
        <v>1073.6574436504397</v>
      </c>
      <c r="AF31" s="301">
        <v>264.80598643302341</v>
      </c>
      <c r="AG31" s="301">
        <v>-544.04547078439327</v>
      </c>
      <c r="AH31" s="301">
        <v>-1352.8969280018096</v>
      </c>
      <c r="AI31" s="301">
        <v>-2161.7483852192267</v>
      </c>
      <c r="AJ31" s="301">
        <v>-2970.599842436643</v>
      </c>
      <c r="AK31" s="301">
        <v>-3779.4512996540575</v>
      </c>
      <c r="AL31" s="307">
        <v>-4588.3027568714751</v>
      </c>
      <c r="AN31" s="356"/>
      <c r="AO31" s="312">
        <v>10</v>
      </c>
      <c r="AP31" s="301">
        <v>4504.5288905782054</v>
      </c>
      <c r="AQ31" s="301">
        <v>3683.3108674829996</v>
      </c>
      <c r="AR31" s="301">
        <v>2860.9736083100524</v>
      </c>
      <c r="AS31" s="301">
        <v>2035.68838031473</v>
      </c>
      <c r="AT31" s="301">
        <v>1202.9297518992212</v>
      </c>
      <c r="AU31" s="301">
        <v>334.31592640238421</v>
      </c>
      <c r="AV31" s="301">
        <v>-535.49546084872497</v>
      </c>
      <c r="AW31" s="301">
        <v>-1405.3068480998352</v>
      </c>
      <c r="AX31" s="301">
        <v>-2275.118235350943</v>
      </c>
      <c r="AY31" s="301">
        <v>-3144.9296226020515</v>
      </c>
      <c r="AZ31" s="307">
        <v>-4014.7410098531614</v>
      </c>
    </row>
    <row r="32" spans="2:52" x14ac:dyDescent="0.25">
      <c r="L32" s="356" t="s">
        <v>330</v>
      </c>
      <c r="M32" s="290">
        <v>12</v>
      </c>
      <c r="N32" s="302">
        <v>2244.5701510713766</v>
      </c>
      <c r="O32" s="302">
        <v>1537.7251039504358</v>
      </c>
      <c r="P32" s="302">
        <v>826.01876980621387</v>
      </c>
      <c r="Q32" s="302">
        <v>114.31243566199262</v>
      </c>
      <c r="R32" s="302">
        <v>-597.39389848222856</v>
      </c>
      <c r="S32" s="302">
        <v>-1309.1002326264506</v>
      </c>
      <c r="T32" s="302">
        <v>-2020.8065667706719</v>
      </c>
      <c r="U32" s="302">
        <v>-2732.5129009148932</v>
      </c>
      <c r="V32" s="302">
        <v>-3444.2192350591149</v>
      </c>
      <c r="W32" s="302">
        <v>-4155.9255692033348</v>
      </c>
      <c r="X32" s="308">
        <v>-4867.6319033475575</v>
      </c>
      <c r="Z32" s="356" t="s">
        <v>330</v>
      </c>
      <c r="AA32" s="290">
        <v>12</v>
      </c>
      <c r="AB32" s="302">
        <v>3130.8074258609154</v>
      </c>
      <c r="AC32" s="302">
        <v>2202.5442259134179</v>
      </c>
      <c r="AD32" s="302">
        <v>1248.4534263253538</v>
      </c>
      <c r="AE32" s="302">
        <v>277.8316776644545</v>
      </c>
      <c r="AF32" s="302">
        <v>-692.79007099644502</v>
      </c>
      <c r="AG32" s="302">
        <v>-1663.4118196573449</v>
      </c>
      <c r="AH32" s="302">
        <v>-2634.0335683182448</v>
      </c>
      <c r="AI32" s="302">
        <v>-3604.6553169791437</v>
      </c>
      <c r="AJ32" s="302">
        <v>-4575.2770656400435</v>
      </c>
      <c r="AK32" s="302">
        <v>-5545.8988143009428</v>
      </c>
      <c r="AL32" s="308">
        <v>-6516.5205629618422</v>
      </c>
      <c r="AN32" s="356"/>
      <c r="AO32" s="290">
        <v>12</v>
      </c>
      <c r="AP32" s="302">
        <v>4357.9860723142629</v>
      </c>
      <c r="AQ32" s="302">
        <v>3372.4839607094791</v>
      </c>
      <c r="AR32" s="302">
        <v>2384.0610987490486</v>
      </c>
      <c r="AS32" s="302">
        <v>1388.2926319477215</v>
      </c>
      <c r="AT32" s="302">
        <v>351.71090511936563</v>
      </c>
      <c r="AU32" s="302">
        <v>-692.06275958196579</v>
      </c>
      <c r="AV32" s="302">
        <v>-1735.8364242832956</v>
      </c>
      <c r="AW32" s="302">
        <v>-2779.6100889846289</v>
      </c>
      <c r="AX32" s="302">
        <v>-3823.3837536859596</v>
      </c>
      <c r="AY32" s="302">
        <v>-4867.1574183872899</v>
      </c>
      <c r="AZ32" s="308">
        <v>-5910.9310830886207</v>
      </c>
    </row>
    <row r="33" spans="12:38" x14ac:dyDescent="0.25">
      <c r="L33" s="356" t="s">
        <v>314</v>
      </c>
      <c r="M33" s="310">
        <v>6</v>
      </c>
      <c r="N33" s="299">
        <v>1976.3523823571738</v>
      </c>
      <c r="O33" s="299">
        <v>1636.6014987811427</v>
      </c>
      <c r="P33" s="299">
        <v>1296.6883552931845</v>
      </c>
      <c r="Q33" s="299">
        <v>956.36705410829188</v>
      </c>
      <c r="R33" s="299">
        <v>615.57715063339504</v>
      </c>
      <c r="S33" s="299">
        <v>273.47427506600309</v>
      </c>
      <c r="T33" s="299">
        <v>-81.311762789052977</v>
      </c>
      <c r="U33" s="299">
        <v>-437.16492986116532</v>
      </c>
      <c r="V33" s="299">
        <v>-793.01809693327516</v>
      </c>
      <c r="W33" s="299">
        <v>-1148.8712640053855</v>
      </c>
      <c r="X33" s="305">
        <v>-1504.7244310774959</v>
      </c>
      <c r="Z33" s="356" t="s">
        <v>314</v>
      </c>
      <c r="AA33" s="310">
        <v>6</v>
      </c>
      <c r="AB33" s="299">
        <v>2806.9399721997133</v>
      </c>
      <c r="AC33" s="299">
        <v>2348.1395066788123</v>
      </c>
      <c r="AD33" s="299">
        <v>1889.3390411579101</v>
      </c>
      <c r="AE33" s="299">
        <v>1430.4241552833173</v>
      </c>
      <c r="AF33" s="299">
        <v>971.24373916026616</v>
      </c>
      <c r="AG33" s="299">
        <v>511.37669802657734</v>
      </c>
      <c r="AH33" s="299">
        <v>46.933497358788387</v>
      </c>
      <c r="AI33" s="299">
        <v>-438.3773769716617</v>
      </c>
      <c r="AJ33" s="299">
        <v>-923.68825130211144</v>
      </c>
      <c r="AK33" s="299">
        <v>-1408.9991256325607</v>
      </c>
      <c r="AL33" s="305">
        <v>-1894.3099999630103</v>
      </c>
    </row>
    <row r="34" spans="12:38" x14ac:dyDescent="0.25">
      <c r="L34" s="356" t="s">
        <v>314</v>
      </c>
      <c r="M34" s="311">
        <v>8</v>
      </c>
      <c r="N34" s="300">
        <v>1976.3523823571738</v>
      </c>
      <c r="O34" s="300">
        <v>1523.3512042557986</v>
      </c>
      <c r="P34" s="300">
        <v>1069.8726452007761</v>
      </c>
      <c r="Q34" s="300">
        <v>615.57715063339481</v>
      </c>
      <c r="R34" s="300">
        <v>155.92368192568665</v>
      </c>
      <c r="S34" s="300">
        <v>-318.54720750379431</v>
      </c>
      <c r="T34" s="300">
        <v>-793.01809693327539</v>
      </c>
      <c r="U34" s="300">
        <v>-1267.4889863627561</v>
      </c>
      <c r="V34" s="300">
        <v>-1741.9598757922367</v>
      </c>
      <c r="W34" s="300">
        <v>-2216.4307652217176</v>
      </c>
      <c r="X34" s="306">
        <v>-2690.9016546511989</v>
      </c>
      <c r="Z34" s="356" t="s">
        <v>314</v>
      </c>
      <c r="AA34" s="311">
        <v>8</v>
      </c>
      <c r="AB34" s="300">
        <v>2806.9399721997133</v>
      </c>
      <c r="AC34" s="300">
        <v>2195.2060181718448</v>
      </c>
      <c r="AD34" s="300">
        <v>1583.4721719870865</v>
      </c>
      <c r="AE34" s="300">
        <v>971.2437391602665</v>
      </c>
      <c r="AF34" s="300">
        <v>357.7350517155387</v>
      </c>
      <c r="AG34" s="300">
        <v>-276.60708552817829</v>
      </c>
      <c r="AH34" s="300">
        <v>-923.68825130211178</v>
      </c>
      <c r="AI34" s="300">
        <v>-1570.7694170760449</v>
      </c>
      <c r="AJ34" s="300">
        <v>-2217.8505828499783</v>
      </c>
      <c r="AK34" s="300">
        <v>-2864.9317486239097</v>
      </c>
      <c r="AL34" s="306">
        <v>-3512.0129143978438</v>
      </c>
    </row>
    <row r="35" spans="12:38" x14ac:dyDescent="0.25">
      <c r="L35" s="356" t="s">
        <v>314</v>
      </c>
      <c r="M35" s="312">
        <v>10</v>
      </c>
      <c r="N35" s="301">
        <v>1976.3523823571738</v>
      </c>
      <c r="O35" s="301">
        <v>1410.0582534874616</v>
      </c>
      <c r="P35" s="301">
        <v>842.86146301580811</v>
      </c>
      <c r="Q35" s="301">
        <v>273.47581313230495</v>
      </c>
      <c r="R35" s="301">
        <v>-318.54720750379488</v>
      </c>
      <c r="S35" s="301">
        <v>-911.6358192906456</v>
      </c>
      <c r="T35" s="301">
        <v>-1504.7244310774968</v>
      </c>
      <c r="U35" s="301">
        <v>-2097.8130428643485</v>
      </c>
      <c r="V35" s="301">
        <v>-2690.9016546511984</v>
      </c>
      <c r="W35" s="301">
        <v>-3283.9902664380497</v>
      </c>
      <c r="X35" s="307">
        <v>-3877.078878224901</v>
      </c>
      <c r="Z35" s="356" t="s">
        <v>314</v>
      </c>
      <c r="AA35" s="312">
        <v>10</v>
      </c>
      <c r="AB35" s="301">
        <v>2806.9399721997133</v>
      </c>
      <c r="AC35" s="301">
        <v>2042.2725296648773</v>
      </c>
      <c r="AD35" s="301">
        <v>1277.3640165756335</v>
      </c>
      <c r="AE35" s="301">
        <v>511.37967603188577</v>
      </c>
      <c r="AF35" s="301">
        <v>-276.60708552817806</v>
      </c>
      <c r="AG35" s="301">
        <v>-1085.4585427455954</v>
      </c>
      <c r="AH35" s="301">
        <v>-1894.309999963011</v>
      </c>
      <c r="AI35" s="301">
        <v>-2703.161457180428</v>
      </c>
      <c r="AJ35" s="301">
        <v>-3512.0129143978434</v>
      </c>
      <c r="AK35" s="301">
        <v>-4320.8643716152601</v>
      </c>
      <c r="AL35" s="307">
        <v>-5129.7158288326773</v>
      </c>
    </row>
    <row r="36" spans="12:38" x14ac:dyDescent="0.25">
      <c r="L36" s="356" t="s">
        <v>314</v>
      </c>
      <c r="M36" s="290">
        <v>12</v>
      </c>
      <c r="N36" s="302">
        <v>1976.3523823571738</v>
      </c>
      <c r="O36" s="302">
        <v>1296.6883552931845</v>
      </c>
      <c r="P36" s="302">
        <v>615.57715063339492</v>
      </c>
      <c r="Q36" s="302">
        <v>-81.311762789054214</v>
      </c>
      <c r="R36" s="302">
        <v>-793.01809693327436</v>
      </c>
      <c r="S36" s="302">
        <v>-1504.724431077497</v>
      </c>
      <c r="T36" s="302">
        <v>-2216.4307652217171</v>
      </c>
      <c r="U36" s="302">
        <v>-2928.1370993659402</v>
      </c>
      <c r="V36" s="302">
        <v>-3639.8434335101615</v>
      </c>
      <c r="W36" s="302">
        <v>-4351.5497676543819</v>
      </c>
      <c r="X36" s="308">
        <v>-5063.2561017986054</v>
      </c>
      <c r="Z36" s="356" t="s">
        <v>314</v>
      </c>
      <c r="AA36" s="290">
        <v>12</v>
      </c>
      <c r="AB36" s="302">
        <v>2806.9399721997133</v>
      </c>
      <c r="AC36" s="302">
        <v>1889.3390411579101</v>
      </c>
      <c r="AD36" s="302">
        <v>971.24374798484621</v>
      </c>
      <c r="AE36" s="302">
        <v>46.93349735878823</v>
      </c>
      <c r="AF36" s="302">
        <v>-923.68825130211155</v>
      </c>
      <c r="AG36" s="302">
        <v>-1894.3099999630113</v>
      </c>
      <c r="AH36" s="302">
        <v>-2864.9317486239102</v>
      </c>
      <c r="AI36" s="302">
        <v>-3835.5534972848104</v>
      </c>
      <c r="AJ36" s="302">
        <v>-4806.1752459457102</v>
      </c>
      <c r="AK36" s="302">
        <v>-5776.7969946066096</v>
      </c>
      <c r="AL36" s="308">
        <v>-6747.418743267508</v>
      </c>
    </row>
    <row r="37" spans="12:38" x14ac:dyDescent="0.25">
      <c r="L37" s="356" t="s">
        <v>331</v>
      </c>
      <c r="M37" s="310">
        <v>6</v>
      </c>
      <c r="N37" s="299">
        <v>1961.147373050391</v>
      </c>
      <c r="O37" s="299">
        <v>1622.9130950057117</v>
      </c>
      <c r="P37" s="299">
        <v>1284.6788169610334</v>
      </c>
      <c r="Q37" s="299">
        <v>946.34754240820178</v>
      </c>
      <c r="R37" s="299">
        <v>607.83209802435385</v>
      </c>
      <c r="S37" s="299">
        <v>269.25849190192929</v>
      </c>
      <c r="T37" s="299">
        <v>-57.726337623937248</v>
      </c>
      <c r="U37" s="299">
        <v>-347.76397647567302</v>
      </c>
      <c r="V37" s="299">
        <v>-695.90257680665616</v>
      </c>
      <c r="W37" s="299">
        <v>-1051.7557438787651</v>
      </c>
      <c r="X37" s="305">
        <v>-1407.6089109508805</v>
      </c>
      <c r="Z37" s="356" t="s">
        <v>331</v>
      </c>
      <c r="AA37" s="310">
        <v>6</v>
      </c>
      <c r="AB37" s="299">
        <v>2797.5901326653607</v>
      </c>
      <c r="AC37" s="299">
        <v>2338.4905528385666</v>
      </c>
      <c r="AD37" s="299">
        <v>1879.3388658621941</v>
      </c>
      <c r="AE37" s="299">
        <v>1419.635660571367</v>
      </c>
      <c r="AF37" s="299">
        <v>959.93301504436658</v>
      </c>
      <c r="AG37" s="299">
        <v>499.68247261651885</v>
      </c>
      <c r="AH37" s="299">
        <v>38.482422770925638</v>
      </c>
      <c r="AI37" s="299">
        <v>-352.09918596925354</v>
      </c>
      <c r="AJ37" s="299">
        <v>-782.01206211255078</v>
      </c>
      <c r="AK37" s="299">
        <v>-1267.3229364430001</v>
      </c>
      <c r="AL37" s="305">
        <v>-1752.63381077345</v>
      </c>
    </row>
    <row r="38" spans="12:38" x14ac:dyDescent="0.25">
      <c r="L38" s="356" t="s">
        <v>331</v>
      </c>
      <c r="M38" s="311">
        <v>8</v>
      </c>
      <c r="N38" s="300">
        <v>1961.147373050391</v>
      </c>
      <c r="O38" s="300">
        <v>1510.1690083014337</v>
      </c>
      <c r="P38" s="300">
        <v>1059.1892982645809</v>
      </c>
      <c r="Q38" s="300">
        <v>607.83301458843516</v>
      </c>
      <c r="R38" s="300">
        <v>156.02488932718686</v>
      </c>
      <c r="S38" s="300">
        <v>-249.00745300302006</v>
      </c>
      <c r="T38" s="300">
        <v>-695.90257680665559</v>
      </c>
      <c r="U38" s="300">
        <v>-1170.3734662361364</v>
      </c>
      <c r="V38" s="300">
        <v>-1644.8443556656177</v>
      </c>
      <c r="W38" s="300">
        <v>-2119.3152450950988</v>
      </c>
      <c r="X38" s="306">
        <v>-2593.7861345245801</v>
      </c>
      <c r="Z38" s="356" t="s">
        <v>331</v>
      </c>
      <c r="AA38" s="311">
        <v>8</v>
      </c>
      <c r="AB38" s="300">
        <v>2797.5901326653607</v>
      </c>
      <c r="AC38" s="300">
        <v>2185.4573595629699</v>
      </c>
      <c r="AD38" s="300">
        <v>1572.8698757470356</v>
      </c>
      <c r="AE38" s="300">
        <v>959.93301504436658</v>
      </c>
      <c r="AF38" s="300">
        <v>346.16804487438657</v>
      </c>
      <c r="AG38" s="300">
        <v>-223.01413604955061</v>
      </c>
      <c r="AH38" s="300">
        <v>-782.01206211255112</v>
      </c>
      <c r="AI38" s="300">
        <v>-1429.0932278864843</v>
      </c>
      <c r="AJ38" s="300">
        <v>-2076.1743936604175</v>
      </c>
      <c r="AK38" s="300">
        <v>-2723.2555594343489</v>
      </c>
      <c r="AL38" s="306">
        <v>-3370.3367252082826</v>
      </c>
    </row>
    <row r="39" spans="12:38" x14ac:dyDescent="0.25">
      <c r="L39" s="356" t="s">
        <v>331</v>
      </c>
      <c r="M39" s="312">
        <v>10</v>
      </c>
      <c r="N39" s="301">
        <v>1961.147373050391</v>
      </c>
      <c r="O39" s="301">
        <v>1397.4237665646642</v>
      </c>
      <c r="P39" s="301">
        <v>833.50906094691902</v>
      </c>
      <c r="Q39" s="301">
        <v>269.25892888626839</v>
      </c>
      <c r="R39" s="301">
        <v>-249.00520855682035</v>
      </c>
      <c r="S39" s="301">
        <v>-814.52029916402648</v>
      </c>
      <c r="T39" s="301">
        <v>-1407.6089109508775</v>
      </c>
      <c r="U39" s="301">
        <v>-2000.6975227377297</v>
      </c>
      <c r="V39" s="301">
        <v>-2593.7861345245797</v>
      </c>
      <c r="W39" s="301">
        <v>-3186.8747463114319</v>
      </c>
      <c r="X39" s="307">
        <v>-3779.9633580982818</v>
      </c>
      <c r="Z39" s="356" t="s">
        <v>331</v>
      </c>
      <c r="AA39" s="312">
        <v>10</v>
      </c>
      <c r="AB39" s="301">
        <v>2797.5901326653607</v>
      </c>
      <c r="AC39" s="301">
        <v>2032.4241662873674</v>
      </c>
      <c r="AD39" s="301">
        <v>1266.4014453957004</v>
      </c>
      <c r="AE39" s="301">
        <v>499.6824726165201</v>
      </c>
      <c r="AF39" s="301">
        <v>-223.01413604955025</v>
      </c>
      <c r="AG39" s="301">
        <v>-943.78235355603442</v>
      </c>
      <c r="AH39" s="301">
        <v>-1752.63381077345</v>
      </c>
      <c r="AI39" s="301">
        <v>-2561.4852679908677</v>
      </c>
      <c r="AJ39" s="301">
        <v>-3370.3367252082826</v>
      </c>
      <c r="AK39" s="301">
        <v>-4179.1881824256998</v>
      </c>
      <c r="AL39" s="307">
        <v>-4988.0396396431161</v>
      </c>
    </row>
    <row r="40" spans="12:38" x14ac:dyDescent="0.25">
      <c r="L40" s="356" t="s">
        <v>331</v>
      </c>
      <c r="M40" s="290">
        <v>12</v>
      </c>
      <c r="N40" s="302">
        <v>1961.147373050391</v>
      </c>
      <c r="O40" s="302">
        <v>1284.6788169610334</v>
      </c>
      <c r="P40" s="302">
        <v>607.83209802435363</v>
      </c>
      <c r="Q40" s="302">
        <v>-57.726005559465705</v>
      </c>
      <c r="R40" s="302">
        <v>-695.9025768066565</v>
      </c>
      <c r="S40" s="302">
        <v>-1407.6089109508775</v>
      </c>
      <c r="T40" s="302">
        <v>-2119.3152450950984</v>
      </c>
      <c r="U40" s="302">
        <v>-2831.0215792393205</v>
      </c>
      <c r="V40" s="302">
        <v>-3542.7279133835427</v>
      </c>
      <c r="W40" s="302">
        <v>-4254.4342475277635</v>
      </c>
      <c r="X40" s="308">
        <v>-4966.1405816719844</v>
      </c>
      <c r="Z40" s="356" t="s">
        <v>331</v>
      </c>
      <c r="AA40" s="290">
        <v>12</v>
      </c>
      <c r="AB40" s="302">
        <v>2797.5901326653607</v>
      </c>
      <c r="AC40" s="302">
        <v>1879.3388658621941</v>
      </c>
      <c r="AD40" s="302">
        <v>959.93301504436613</v>
      </c>
      <c r="AE40" s="302">
        <v>38.482422770925197</v>
      </c>
      <c r="AF40" s="302">
        <v>-782.01206211255089</v>
      </c>
      <c r="AG40" s="302">
        <v>-1752.6338107734505</v>
      </c>
      <c r="AH40" s="302">
        <v>-2723.2555594343498</v>
      </c>
      <c r="AI40" s="302">
        <v>-3693.8773080952501</v>
      </c>
      <c r="AJ40" s="302">
        <v>-4664.499056756149</v>
      </c>
      <c r="AK40" s="302">
        <v>-5635.1208054170484</v>
      </c>
      <c r="AL40" s="308">
        <v>-6605.7425540779477</v>
      </c>
    </row>
    <row r="41" spans="12:38" x14ac:dyDescent="0.25">
      <c r="L41" s="360">
        <v>2035</v>
      </c>
      <c r="M41" s="360"/>
      <c r="N41" s="361" t="s">
        <v>329</v>
      </c>
      <c r="O41" s="362"/>
      <c r="P41" s="362"/>
      <c r="Q41" s="362"/>
      <c r="R41" s="362"/>
      <c r="S41" s="362"/>
      <c r="T41" s="362"/>
      <c r="U41" s="362"/>
      <c r="V41" s="362"/>
      <c r="W41" s="362"/>
      <c r="X41" s="363"/>
      <c r="Z41" s="360">
        <v>2035</v>
      </c>
      <c r="AA41" s="360"/>
      <c r="AB41" s="361" t="s">
        <v>329</v>
      </c>
      <c r="AC41" s="362"/>
      <c r="AD41" s="362"/>
      <c r="AE41" s="362"/>
      <c r="AF41" s="362"/>
      <c r="AG41" s="362"/>
      <c r="AH41" s="362"/>
      <c r="AI41" s="362"/>
      <c r="AJ41" s="362"/>
      <c r="AK41" s="362"/>
      <c r="AL41" s="363"/>
    </row>
    <row r="42" spans="12:38" x14ac:dyDescent="0.25">
      <c r="L42" s="360"/>
      <c r="M42" s="360"/>
      <c r="N42" s="303">
        <v>0</v>
      </c>
      <c r="O42" s="298">
        <v>1</v>
      </c>
      <c r="P42" s="298">
        <v>2</v>
      </c>
      <c r="Q42" s="298">
        <v>3</v>
      </c>
      <c r="R42" s="298">
        <v>4</v>
      </c>
      <c r="S42" s="298">
        <v>5</v>
      </c>
      <c r="T42" s="298">
        <v>6</v>
      </c>
      <c r="U42" s="298">
        <v>7</v>
      </c>
      <c r="V42" s="298">
        <v>8</v>
      </c>
      <c r="W42" s="298">
        <v>9</v>
      </c>
      <c r="X42" s="304">
        <v>10</v>
      </c>
      <c r="Z42" s="360"/>
      <c r="AA42" s="360"/>
      <c r="AB42" s="303">
        <v>0</v>
      </c>
      <c r="AC42" s="298">
        <v>1</v>
      </c>
      <c r="AD42" s="298">
        <v>2</v>
      </c>
      <c r="AE42" s="298">
        <v>3</v>
      </c>
      <c r="AF42" s="298">
        <v>4</v>
      </c>
      <c r="AG42" s="298">
        <v>5</v>
      </c>
      <c r="AH42" s="298">
        <v>6</v>
      </c>
      <c r="AI42" s="298">
        <v>7</v>
      </c>
      <c r="AJ42" s="298">
        <v>8</v>
      </c>
      <c r="AK42" s="298">
        <v>9</v>
      </c>
      <c r="AL42" s="304">
        <v>10</v>
      </c>
    </row>
    <row r="43" spans="12:38" x14ac:dyDescent="0.25">
      <c r="L43" s="309" t="s">
        <v>333</v>
      </c>
      <c r="M43" s="331" t="s">
        <v>381</v>
      </c>
      <c r="N43" s="364" t="s">
        <v>332</v>
      </c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Z43" s="334" t="s">
        <v>333</v>
      </c>
      <c r="AA43" s="334" t="s">
        <v>381</v>
      </c>
      <c r="AB43" s="364" t="s">
        <v>332</v>
      </c>
      <c r="AC43" s="354"/>
      <c r="AD43" s="354"/>
      <c r="AE43" s="354"/>
      <c r="AF43" s="354"/>
      <c r="AG43" s="354"/>
      <c r="AH43" s="354"/>
      <c r="AI43" s="354"/>
      <c r="AJ43" s="354"/>
      <c r="AK43" s="354"/>
      <c r="AL43" s="354"/>
    </row>
    <row r="44" spans="12:38" x14ac:dyDescent="0.25">
      <c r="L44" s="356" t="s">
        <v>328</v>
      </c>
      <c r="M44" s="310">
        <v>6</v>
      </c>
      <c r="N44" s="299">
        <v>858.71680064627503</v>
      </c>
      <c r="O44" s="299">
        <v>554.60687949252588</v>
      </c>
      <c r="P44" s="299">
        <v>250.49695833877803</v>
      </c>
      <c r="Q44" s="299">
        <v>-43.691024376318026</v>
      </c>
      <c r="R44" s="299">
        <v>-291.52052829804313</v>
      </c>
      <c r="S44" s="299">
        <v>-539.35003221976922</v>
      </c>
      <c r="T44" s="299">
        <v>-790.02147447545337</v>
      </c>
      <c r="U44" s="299">
        <v>-1072.5434231764923</v>
      </c>
      <c r="V44" s="299">
        <v>-1390.8788267930565</v>
      </c>
      <c r="W44" s="299">
        <v>-1709.2142304096183</v>
      </c>
      <c r="X44" s="305">
        <v>-2027.549634026183</v>
      </c>
      <c r="Z44" s="356" t="s">
        <v>328</v>
      </c>
      <c r="AA44" s="310">
        <v>6</v>
      </c>
      <c r="AB44" s="299">
        <v>1240.9395168478122</v>
      </c>
      <c r="AC44" s="299">
        <v>831.0775784146341</v>
      </c>
      <c r="AD44" s="299">
        <v>421.21563998145666</v>
      </c>
      <c r="AE44" s="299">
        <v>11.353701548277822</v>
      </c>
      <c r="AF44" s="299">
        <v>-324.75789767468865</v>
      </c>
      <c r="AG44" s="299">
        <v>-658.76831237253111</v>
      </c>
      <c r="AH44" s="299">
        <v>-992.77872707037216</v>
      </c>
      <c r="AI44" s="299">
        <v>-1350.8647561596213</v>
      </c>
      <c r="AJ44" s="299">
        <v>-1778.32476414499</v>
      </c>
      <c r="AK44" s="299">
        <v>-2207.3589932921195</v>
      </c>
      <c r="AL44" s="305">
        <v>-2636.3932224392488</v>
      </c>
    </row>
    <row r="45" spans="12:38" x14ac:dyDescent="0.25">
      <c r="L45" s="356" t="s">
        <v>328</v>
      </c>
      <c r="M45" s="311">
        <v>8</v>
      </c>
      <c r="N45" s="300">
        <v>858.71680064627503</v>
      </c>
      <c r="O45" s="300">
        <v>453.23690577460809</v>
      </c>
      <c r="P45" s="300">
        <v>47.757010902944913</v>
      </c>
      <c r="Q45" s="300">
        <v>-291.52052829804484</v>
      </c>
      <c r="R45" s="300">
        <v>-621.95986686034496</v>
      </c>
      <c r="S45" s="300">
        <v>-968.52660229186949</v>
      </c>
      <c r="T45" s="300">
        <v>-1390.8788267930561</v>
      </c>
      <c r="U45" s="300">
        <v>-1815.3260316151402</v>
      </c>
      <c r="V45" s="300">
        <v>-2239.773236437225</v>
      </c>
      <c r="W45" s="300">
        <v>-2664.2204412593101</v>
      </c>
      <c r="X45" s="306">
        <v>-3088.667646081396</v>
      </c>
      <c r="Z45" s="356" t="s">
        <v>328</v>
      </c>
      <c r="AA45" s="311">
        <v>8</v>
      </c>
      <c r="AB45" s="300">
        <v>1240.9395168478122</v>
      </c>
      <c r="AC45" s="300">
        <v>694.45693227024151</v>
      </c>
      <c r="AD45" s="300">
        <v>147.97434769266653</v>
      </c>
      <c r="AE45" s="300">
        <v>-324.75789767468802</v>
      </c>
      <c r="AF45" s="300">
        <v>-770.1051172718104</v>
      </c>
      <c r="AG45" s="300">
        <v>-1227.0956313637353</v>
      </c>
      <c r="AH45" s="300">
        <v>-1778.32476414499</v>
      </c>
      <c r="AI45" s="300">
        <v>-2350.3704030078293</v>
      </c>
      <c r="AJ45" s="300">
        <v>-2922.4160418706679</v>
      </c>
      <c r="AK45" s="300">
        <v>-3494.4616807335051</v>
      </c>
      <c r="AL45" s="306">
        <v>-4066.507319596346</v>
      </c>
    </row>
    <row r="46" spans="12:38" x14ac:dyDescent="0.25">
      <c r="L46" s="356" t="s">
        <v>328</v>
      </c>
      <c r="M46" s="312">
        <v>10</v>
      </c>
      <c r="N46" s="301">
        <v>858.71680064627503</v>
      </c>
      <c r="O46" s="301">
        <v>351.8669320566961</v>
      </c>
      <c r="P46" s="301">
        <v>-126.30085901689357</v>
      </c>
      <c r="Q46" s="301">
        <v>-539.35003221976922</v>
      </c>
      <c r="R46" s="301">
        <v>-968.52660229186972</v>
      </c>
      <c r="S46" s="301">
        <v>-1496.9906279985762</v>
      </c>
      <c r="T46" s="301">
        <v>-2027.5496340261823</v>
      </c>
      <c r="U46" s="301">
        <v>-2558.1086400537888</v>
      </c>
      <c r="V46" s="301">
        <v>-3088.6676460813937</v>
      </c>
      <c r="W46" s="301">
        <v>-3619.226652109</v>
      </c>
      <c r="X46" s="307">
        <v>-4149.7856581366068</v>
      </c>
      <c r="Z46" s="356" t="s">
        <v>328</v>
      </c>
      <c r="AA46" s="312">
        <v>10</v>
      </c>
      <c r="AB46" s="301">
        <v>1240.9395168478122</v>
      </c>
      <c r="AC46" s="301">
        <v>557.83628612584835</v>
      </c>
      <c r="AD46" s="301">
        <v>-102.08428787612711</v>
      </c>
      <c r="AE46" s="301">
        <v>-658.76831237252895</v>
      </c>
      <c r="AF46" s="301">
        <v>-1227.0945578428252</v>
      </c>
      <c r="AG46" s="301">
        <v>-1921.336173860703</v>
      </c>
      <c r="AH46" s="301">
        <v>-2636.3932224392502</v>
      </c>
      <c r="AI46" s="301">
        <v>-3351.4502710177985</v>
      </c>
      <c r="AJ46" s="301">
        <v>-4066.507319596345</v>
      </c>
      <c r="AK46" s="301">
        <v>-4781.5643681748952</v>
      </c>
      <c r="AL46" s="307">
        <v>-5496.6214167534436</v>
      </c>
    </row>
    <row r="47" spans="12:38" x14ac:dyDescent="0.25">
      <c r="L47" s="356" t="s">
        <v>328</v>
      </c>
      <c r="M47" s="290">
        <v>12</v>
      </c>
      <c r="N47" s="302">
        <v>858.71680064627503</v>
      </c>
      <c r="O47" s="302">
        <v>250.49695833877803</v>
      </c>
      <c r="P47" s="302">
        <v>-291.52052829804427</v>
      </c>
      <c r="Q47" s="302">
        <v>-790.02145206193859</v>
      </c>
      <c r="R47" s="302">
        <v>-1390.8788267930563</v>
      </c>
      <c r="S47" s="302">
        <v>-2027.5496340261834</v>
      </c>
      <c r="T47" s="302">
        <v>-2664.2204412593082</v>
      </c>
      <c r="U47" s="302">
        <v>-3300.8912484924354</v>
      </c>
      <c r="V47" s="302">
        <v>-3937.5620557255656</v>
      </c>
      <c r="W47" s="302">
        <v>-4574.2328629586909</v>
      </c>
      <c r="X47" s="308">
        <v>-5210.9036701918167</v>
      </c>
      <c r="Z47" s="356" t="s">
        <v>328</v>
      </c>
      <c r="AA47" s="290">
        <v>12</v>
      </c>
      <c r="AB47" s="302">
        <v>1240.9395168478122</v>
      </c>
      <c r="AC47" s="302">
        <v>421.21563998145666</v>
      </c>
      <c r="AD47" s="302">
        <v>-324.75789767468848</v>
      </c>
      <c r="AE47" s="302">
        <v>-992.77872500463957</v>
      </c>
      <c r="AF47" s="302">
        <v>-1778.3247641449911</v>
      </c>
      <c r="AG47" s="302">
        <v>-2636.3932224392483</v>
      </c>
      <c r="AH47" s="302">
        <v>-3494.4616807335074</v>
      </c>
      <c r="AI47" s="302">
        <v>-4352.5301390277655</v>
      </c>
      <c r="AJ47" s="302">
        <v>-5210.5985973220231</v>
      </c>
      <c r="AK47" s="302">
        <v>-6068.6670556162799</v>
      </c>
      <c r="AL47" s="308">
        <v>-6926.7355139105384</v>
      </c>
    </row>
    <row r="48" spans="12:38" x14ac:dyDescent="0.25">
      <c r="L48" s="356" t="s">
        <v>330</v>
      </c>
      <c r="M48" s="310">
        <v>6</v>
      </c>
      <c r="N48" s="299">
        <v>2582.1256674146557</v>
      </c>
      <c r="O48" s="299">
        <v>2263.790263798091</v>
      </c>
      <c r="P48" s="299">
        <v>1945.4548601815281</v>
      </c>
      <c r="Q48" s="299">
        <v>1627.1194565649644</v>
      </c>
      <c r="R48" s="299">
        <v>1308.7840529484006</v>
      </c>
      <c r="S48" s="299">
        <v>990.44864933183851</v>
      </c>
      <c r="T48" s="299">
        <v>672.11324571527484</v>
      </c>
      <c r="U48" s="299">
        <v>353.77784209871083</v>
      </c>
      <c r="V48" s="299">
        <v>35.442438482146144</v>
      </c>
      <c r="W48" s="299">
        <v>-282.89296513441695</v>
      </c>
      <c r="X48" s="305">
        <v>-601.22836875098017</v>
      </c>
      <c r="Z48" s="356" t="s">
        <v>330</v>
      </c>
      <c r="AA48" s="310">
        <v>6</v>
      </c>
      <c r="AB48" s="299">
        <v>3589.3388378150953</v>
      </c>
      <c r="AC48" s="299">
        <v>3167.4142478919198</v>
      </c>
      <c r="AD48" s="299">
        <v>2738.3800187447914</v>
      </c>
      <c r="AE48" s="299">
        <v>2309.3457895976612</v>
      </c>
      <c r="AF48" s="299">
        <v>1880.3115604505322</v>
      </c>
      <c r="AG48" s="299">
        <v>1451.2773313034045</v>
      </c>
      <c r="AH48" s="299">
        <v>1022.2431021562747</v>
      </c>
      <c r="AI48" s="299">
        <v>593.20887300914569</v>
      </c>
      <c r="AJ48" s="299">
        <v>164.17464386201664</v>
      </c>
      <c r="AK48" s="299">
        <v>-264.85958528511264</v>
      </c>
      <c r="AL48" s="305">
        <v>-693.89381443224136</v>
      </c>
    </row>
    <row r="49" spans="12:38" x14ac:dyDescent="0.25">
      <c r="L49" s="356" t="s">
        <v>330</v>
      </c>
      <c r="M49" s="311">
        <v>8</v>
      </c>
      <c r="N49" s="300">
        <v>2367.875301941458</v>
      </c>
      <c r="O49" s="300">
        <v>1943.4280971193691</v>
      </c>
      <c r="P49" s="300">
        <v>1518.9808922972843</v>
      </c>
      <c r="Q49" s="300">
        <v>1094.5336874751999</v>
      </c>
      <c r="R49" s="300">
        <v>670.0864826531141</v>
      </c>
      <c r="S49" s="300">
        <v>245.6392778310298</v>
      </c>
      <c r="T49" s="300">
        <v>-178.80792699105183</v>
      </c>
      <c r="U49" s="300">
        <v>-603.25513181313897</v>
      </c>
      <c r="V49" s="300">
        <v>-1027.7023366352223</v>
      </c>
      <c r="W49" s="300">
        <v>-1452.1495414573085</v>
      </c>
      <c r="X49" s="306">
        <v>-1876.5967462793908</v>
      </c>
      <c r="Z49" s="356" t="s">
        <v>330</v>
      </c>
      <c r="AA49" s="311">
        <v>8</v>
      </c>
      <c r="AB49" s="300">
        <v>3305.3215383842844</v>
      </c>
      <c r="AC49" s="300">
        <v>2733.2758995214435</v>
      </c>
      <c r="AD49" s="300">
        <v>2161.2302606586027</v>
      </c>
      <c r="AE49" s="300">
        <v>1589.1846217957657</v>
      </c>
      <c r="AF49" s="300">
        <v>1017.138982932928</v>
      </c>
      <c r="AG49" s="300">
        <v>445.09334407008953</v>
      </c>
      <c r="AH49" s="300">
        <v>-126.95229479275105</v>
      </c>
      <c r="AI49" s="300">
        <v>-698.99793365559026</v>
      </c>
      <c r="AJ49" s="300">
        <v>-1271.0435725184279</v>
      </c>
      <c r="AK49" s="300">
        <v>-1843.089211381269</v>
      </c>
      <c r="AL49" s="306">
        <v>-2415.1348502441051</v>
      </c>
    </row>
    <row r="50" spans="12:38" x14ac:dyDescent="0.25">
      <c r="L50" s="356" t="s">
        <v>330</v>
      </c>
      <c r="M50" s="312">
        <v>10</v>
      </c>
      <c r="N50" s="301">
        <v>2153.6249364682399</v>
      </c>
      <c r="O50" s="301">
        <v>1623.0659304406468</v>
      </c>
      <c r="P50" s="301">
        <v>1092.5069244130377</v>
      </c>
      <c r="Q50" s="301">
        <v>561.94791838543392</v>
      </c>
      <c r="R50" s="301">
        <v>31.388912357829952</v>
      </c>
      <c r="S50" s="301">
        <v>-499.17009366977766</v>
      </c>
      <c r="T50" s="301">
        <v>-1029.7290996973829</v>
      </c>
      <c r="U50" s="301">
        <v>-1560.288105724989</v>
      </c>
      <c r="V50" s="301">
        <v>-2090.8471117525942</v>
      </c>
      <c r="W50" s="301">
        <v>-2621.4061177801996</v>
      </c>
      <c r="X50" s="307">
        <v>-3151.9651238078077</v>
      </c>
      <c r="Z50" s="356" t="s">
        <v>330</v>
      </c>
      <c r="AA50" s="312">
        <v>10</v>
      </c>
      <c r="AB50" s="301">
        <v>3014.1945997295161</v>
      </c>
      <c r="AC50" s="301">
        <v>2299.1375511509668</v>
      </c>
      <c r="AD50" s="301">
        <v>1584.0805025724171</v>
      </c>
      <c r="AE50" s="301">
        <v>869.02345399387013</v>
      </c>
      <c r="AF50" s="301">
        <v>153.96640541532199</v>
      </c>
      <c r="AG50" s="301">
        <v>-561.09064316322588</v>
      </c>
      <c r="AH50" s="301">
        <v>-1276.1476917417754</v>
      </c>
      <c r="AI50" s="301">
        <v>-1991.2047403203233</v>
      </c>
      <c r="AJ50" s="301">
        <v>-2706.2617888988721</v>
      </c>
      <c r="AK50" s="301">
        <v>-3421.318837477419</v>
      </c>
      <c r="AL50" s="307">
        <v>-4136.3758860559692</v>
      </c>
    </row>
    <row r="51" spans="12:38" x14ac:dyDescent="0.25">
      <c r="L51" s="356" t="s">
        <v>330</v>
      </c>
      <c r="M51" s="290">
        <v>12</v>
      </c>
      <c r="N51" s="302">
        <v>1939.3745709950354</v>
      </c>
      <c r="O51" s="302">
        <v>1302.7037637619233</v>
      </c>
      <c r="P51" s="302">
        <v>666.03295652879797</v>
      </c>
      <c r="Q51" s="302">
        <v>29.362149295671315</v>
      </c>
      <c r="R51" s="302">
        <v>-607.30865793745681</v>
      </c>
      <c r="S51" s="302">
        <v>-1243.9794651705865</v>
      </c>
      <c r="T51" s="302">
        <v>-1880.6502724037116</v>
      </c>
      <c r="U51" s="302">
        <v>-2517.3210796368394</v>
      </c>
      <c r="V51" s="302">
        <v>-3153.9918868699679</v>
      </c>
      <c r="W51" s="302">
        <v>-3790.6626941030918</v>
      </c>
      <c r="X51" s="308">
        <v>-4427.3335013362184</v>
      </c>
      <c r="Z51" s="356" t="s">
        <v>330</v>
      </c>
      <c r="AA51" s="290">
        <v>12</v>
      </c>
      <c r="AB51" s="302">
        <v>2723.0676610747469</v>
      </c>
      <c r="AC51" s="302">
        <v>1864.999202780491</v>
      </c>
      <c r="AD51" s="302">
        <v>1006.9307444862329</v>
      </c>
      <c r="AE51" s="302">
        <v>148.86228619197459</v>
      </c>
      <c r="AF51" s="302">
        <v>-709.20617210228204</v>
      </c>
      <c r="AG51" s="302">
        <v>-1567.2746303965416</v>
      </c>
      <c r="AH51" s="302">
        <v>-2425.3430886907995</v>
      </c>
      <c r="AI51" s="302">
        <v>-3283.4115469850576</v>
      </c>
      <c r="AJ51" s="302">
        <v>-4141.4800052793171</v>
      </c>
      <c r="AK51" s="302">
        <v>-4999.5484635735729</v>
      </c>
      <c r="AL51" s="308">
        <v>-5857.6169218678315</v>
      </c>
    </row>
    <row r="52" spans="12:38" x14ac:dyDescent="0.25">
      <c r="L52" s="356" t="s">
        <v>314</v>
      </c>
      <c r="M52" s="310">
        <v>6</v>
      </c>
      <c r="N52" s="299">
        <v>1882.4199650012924</v>
      </c>
      <c r="O52" s="299">
        <v>1577.0352814636169</v>
      </c>
      <c r="P52" s="299">
        <v>1271.223016273975</v>
      </c>
      <c r="Q52" s="299">
        <v>964.51900489768275</v>
      </c>
      <c r="R52" s="299">
        <v>656.70029017372781</v>
      </c>
      <c r="S52" s="299">
        <v>341.77087636531115</v>
      </c>
      <c r="T52" s="299">
        <v>23.435472748747895</v>
      </c>
      <c r="U52" s="299">
        <v>-294.89993086781556</v>
      </c>
      <c r="V52" s="299">
        <v>-613.23533448437968</v>
      </c>
      <c r="W52" s="299">
        <v>-931.57073810094289</v>
      </c>
      <c r="X52" s="305">
        <v>-1249.9061417175069</v>
      </c>
      <c r="Z52" s="356" t="s">
        <v>314</v>
      </c>
      <c r="AA52" s="310">
        <v>6</v>
      </c>
      <c r="AB52" s="299">
        <v>2608.5786049945655</v>
      </c>
      <c r="AC52" s="299">
        <v>2200.60082594397</v>
      </c>
      <c r="AD52" s="299">
        <v>1792.3491125757012</v>
      </c>
      <c r="AE52" s="299">
        <v>1383.9334924879506</v>
      </c>
      <c r="AF52" s="299">
        <v>974.80826660694413</v>
      </c>
      <c r="AG52" s="299">
        <v>564.09834176531672</v>
      </c>
      <c r="AH52" s="299">
        <v>140.83316345066572</v>
      </c>
      <c r="AI52" s="299">
        <v>-288.20106569646356</v>
      </c>
      <c r="AJ52" s="299">
        <v>-717.23529484359233</v>
      </c>
      <c r="AK52" s="299">
        <v>-1146.2695239907216</v>
      </c>
      <c r="AL52" s="305">
        <v>-1575.3037531378529</v>
      </c>
    </row>
    <row r="53" spans="12:38" x14ac:dyDescent="0.25">
      <c r="L53" s="356" t="s">
        <v>314</v>
      </c>
      <c r="M53" s="311">
        <v>8</v>
      </c>
      <c r="N53" s="300">
        <v>1882.4199650012924</v>
      </c>
      <c r="O53" s="300">
        <v>1475.1758668579484</v>
      </c>
      <c r="P53" s="300">
        <v>1066.8367069129315</v>
      </c>
      <c r="Q53" s="300">
        <v>656.70443817156763</v>
      </c>
      <c r="R53" s="300">
        <v>235.65907515979043</v>
      </c>
      <c r="S53" s="300">
        <v>-188.78812966229484</v>
      </c>
      <c r="T53" s="300">
        <v>-613.23533448437934</v>
      </c>
      <c r="U53" s="300">
        <v>-1037.6825393064639</v>
      </c>
      <c r="V53" s="300">
        <v>-1462.1297441285494</v>
      </c>
      <c r="W53" s="300">
        <v>-1886.5769489506342</v>
      </c>
      <c r="X53" s="306">
        <v>-2311.0241537727188</v>
      </c>
      <c r="Z53" s="356" t="s">
        <v>314</v>
      </c>
      <c r="AA53" s="311">
        <v>8</v>
      </c>
      <c r="AB53" s="300">
        <v>2608.5786049945655</v>
      </c>
      <c r="AC53" s="300">
        <v>2064.6061713273689</v>
      </c>
      <c r="AD53" s="300">
        <v>1520.0955551187913</v>
      </c>
      <c r="AE53" s="300">
        <v>974.80921775430465</v>
      </c>
      <c r="AF53" s="300">
        <v>426.23138304643027</v>
      </c>
      <c r="AG53" s="300">
        <v>-145.18965598075451</v>
      </c>
      <c r="AH53" s="300">
        <v>-717.23529484359301</v>
      </c>
      <c r="AI53" s="300">
        <v>-1289.2809337064314</v>
      </c>
      <c r="AJ53" s="300">
        <v>-1861.3265725692709</v>
      </c>
      <c r="AK53" s="300">
        <v>-2433.372211432109</v>
      </c>
      <c r="AL53" s="306">
        <v>-3005.4178502949476</v>
      </c>
    </row>
    <row r="54" spans="12:38" x14ac:dyDescent="0.25">
      <c r="L54" s="356" t="s">
        <v>314</v>
      </c>
      <c r="M54" s="312">
        <v>10</v>
      </c>
      <c r="N54" s="301">
        <v>1882.4199650012924</v>
      </c>
      <c r="O54" s="301">
        <v>1373.2238338394397</v>
      </c>
      <c r="P54" s="301">
        <v>862.08677867848019</v>
      </c>
      <c r="Q54" s="301">
        <v>341.77087636531087</v>
      </c>
      <c r="R54" s="301">
        <v>-188.78812966229515</v>
      </c>
      <c r="S54" s="301">
        <v>-719.34713568990105</v>
      </c>
      <c r="T54" s="301">
        <v>-1249.9061417175071</v>
      </c>
      <c r="U54" s="301">
        <v>-1780.4651477451134</v>
      </c>
      <c r="V54" s="301">
        <v>-2311.0241537727188</v>
      </c>
      <c r="W54" s="301">
        <v>-2841.5831598003247</v>
      </c>
      <c r="X54" s="307">
        <v>-3372.1421658279305</v>
      </c>
      <c r="Z54" s="356" t="s">
        <v>314</v>
      </c>
      <c r="AA54" s="312">
        <v>10</v>
      </c>
      <c r="AB54" s="301">
        <v>2608.5786049945655</v>
      </c>
      <c r="AC54" s="301">
        <v>1928.4758913041558</v>
      </c>
      <c r="AD54" s="301">
        <v>1247.6218455149133</v>
      </c>
      <c r="AE54" s="301">
        <v>564.09834176531649</v>
      </c>
      <c r="AF54" s="301">
        <v>-145.189655980753</v>
      </c>
      <c r="AG54" s="301">
        <v>-860.24670455930243</v>
      </c>
      <c r="AH54" s="301">
        <v>-1575.3037531378507</v>
      </c>
      <c r="AI54" s="301">
        <v>-2290.3608017164006</v>
      </c>
      <c r="AJ54" s="301">
        <v>-3005.4178502949467</v>
      </c>
      <c r="AK54" s="301">
        <v>-3720.4748988734964</v>
      </c>
      <c r="AL54" s="307">
        <v>-4435.5319474520438</v>
      </c>
    </row>
    <row r="55" spans="12:38" x14ac:dyDescent="0.25">
      <c r="L55" s="356" t="s">
        <v>314</v>
      </c>
      <c r="M55" s="290">
        <v>12</v>
      </c>
      <c r="N55" s="302">
        <v>1882.4199650012924</v>
      </c>
      <c r="O55" s="302">
        <v>1271.223016273975</v>
      </c>
      <c r="P55" s="302">
        <v>656.70029017372747</v>
      </c>
      <c r="Q55" s="302">
        <v>23.435472748747941</v>
      </c>
      <c r="R55" s="302">
        <v>-613.23533448437888</v>
      </c>
      <c r="S55" s="302">
        <v>-1249.9061417175069</v>
      </c>
      <c r="T55" s="302">
        <v>-1886.5769489506338</v>
      </c>
      <c r="U55" s="302">
        <v>-2523.2477561837609</v>
      </c>
      <c r="V55" s="302">
        <v>-3159.9185634168889</v>
      </c>
      <c r="W55" s="302">
        <v>-3796.5893706500146</v>
      </c>
      <c r="X55" s="308">
        <v>-4433.2601778831413</v>
      </c>
      <c r="Z55" s="356" t="s">
        <v>314</v>
      </c>
      <c r="AA55" s="290">
        <v>12</v>
      </c>
      <c r="AB55" s="302">
        <v>2608.5786049945655</v>
      </c>
      <c r="AC55" s="302">
        <v>1792.3491125757012</v>
      </c>
      <c r="AD55" s="302">
        <v>974.80925011726504</v>
      </c>
      <c r="AE55" s="302">
        <v>140.8331634506655</v>
      </c>
      <c r="AF55" s="302">
        <v>-717.23529484359301</v>
      </c>
      <c r="AG55" s="302">
        <v>-1575.3037531378511</v>
      </c>
      <c r="AH55" s="302">
        <v>-2433.3722114321099</v>
      </c>
      <c r="AI55" s="302">
        <v>-3291.4406697263671</v>
      </c>
      <c r="AJ55" s="302">
        <v>-4149.5091280206252</v>
      </c>
      <c r="AK55" s="302">
        <v>-5007.5775863148838</v>
      </c>
      <c r="AL55" s="308">
        <v>-5865.6460446091405</v>
      </c>
    </row>
    <row r="56" spans="12:38" x14ac:dyDescent="0.25">
      <c r="L56" s="356" t="s">
        <v>331</v>
      </c>
      <c r="M56" s="310">
        <v>6</v>
      </c>
      <c r="N56" s="299">
        <v>1944.744459027308</v>
      </c>
      <c r="O56" s="299">
        <v>1640.6353832203406</v>
      </c>
      <c r="P56" s="299">
        <v>1336.5246167198002</v>
      </c>
      <c r="Q56" s="299">
        <v>1032.4146955660513</v>
      </c>
      <c r="R56" s="299">
        <v>728.3047744123013</v>
      </c>
      <c r="S56" s="299">
        <v>424.19485325855192</v>
      </c>
      <c r="T56" s="299">
        <v>120.08493210480231</v>
      </c>
      <c r="U56" s="299">
        <v>-150.08081755589208</v>
      </c>
      <c r="V56" s="299">
        <v>-432.28167873527957</v>
      </c>
      <c r="W56" s="299">
        <v>-750.61708235184324</v>
      </c>
      <c r="X56" s="305">
        <v>-1068.9524859684061</v>
      </c>
      <c r="Z56" s="356" t="s">
        <v>331</v>
      </c>
      <c r="AA56" s="310">
        <v>6</v>
      </c>
      <c r="AB56" s="299">
        <v>2733.9394133727037</v>
      </c>
      <c r="AC56" s="299">
        <v>2325.9550407069846</v>
      </c>
      <c r="AD56" s="299">
        <v>1917.9701213548635</v>
      </c>
      <c r="AE56" s="299">
        <v>1509.7050814612589</v>
      </c>
      <c r="AF56" s="299">
        <v>1101.1430233989449</v>
      </c>
      <c r="AG56" s="299">
        <v>692.58025631424027</v>
      </c>
      <c r="AH56" s="299">
        <v>282.8449224400905</v>
      </c>
      <c r="AI56" s="299">
        <v>-103.64951303801524</v>
      </c>
      <c r="AJ56" s="299">
        <v>-456.21055381504596</v>
      </c>
      <c r="AK56" s="299">
        <v>-885.24478296217512</v>
      </c>
      <c r="AL56" s="305">
        <v>-1314.2790121093035</v>
      </c>
    </row>
    <row r="57" spans="12:38" x14ac:dyDescent="0.25">
      <c r="L57" s="356" t="s">
        <v>331</v>
      </c>
      <c r="M57" s="311">
        <v>8</v>
      </c>
      <c r="N57" s="300">
        <v>1944.744459027308</v>
      </c>
      <c r="O57" s="300">
        <v>1539.2646287300888</v>
      </c>
      <c r="P57" s="300">
        <v>1133.7846692839657</v>
      </c>
      <c r="Q57" s="300">
        <v>728.30477441229993</v>
      </c>
      <c r="R57" s="300">
        <v>322.82487954063492</v>
      </c>
      <c r="S57" s="300">
        <v>-67.358379392613372</v>
      </c>
      <c r="T57" s="300">
        <v>-432.281678735279</v>
      </c>
      <c r="U57" s="300">
        <v>-856.72888355736359</v>
      </c>
      <c r="V57" s="300">
        <v>-1281.1760883794493</v>
      </c>
      <c r="W57" s="300">
        <v>-1705.623293201533</v>
      </c>
      <c r="X57" s="306">
        <v>-2130.0704980236173</v>
      </c>
      <c r="Z57" s="356" t="s">
        <v>331</v>
      </c>
      <c r="AA57" s="311">
        <v>8</v>
      </c>
      <c r="AB57" s="300">
        <v>2733.9394133727037</v>
      </c>
      <c r="AC57" s="300">
        <v>2189.9598814695737</v>
      </c>
      <c r="AD57" s="300">
        <v>1645.8968086491734</v>
      </c>
      <c r="AE57" s="300">
        <v>1101.1430233989443</v>
      </c>
      <c r="AF57" s="300">
        <v>556.08621472887774</v>
      </c>
      <c r="AG57" s="300">
        <v>9.603630151305083</v>
      </c>
      <c r="AH57" s="300">
        <v>-456.21055381504664</v>
      </c>
      <c r="AI57" s="300">
        <v>-1028.2561926778847</v>
      </c>
      <c r="AJ57" s="300">
        <v>-1600.3018315407239</v>
      </c>
      <c r="AK57" s="300">
        <v>-2172.3474704035598</v>
      </c>
      <c r="AL57" s="306">
        <v>-2744.3931092664002</v>
      </c>
    </row>
    <row r="58" spans="12:38" x14ac:dyDescent="0.25">
      <c r="L58" s="356" t="s">
        <v>331</v>
      </c>
      <c r="M58" s="312">
        <v>10</v>
      </c>
      <c r="N58" s="301">
        <v>1944.744459027308</v>
      </c>
      <c r="O58" s="301">
        <v>1437.8945904377135</v>
      </c>
      <c r="P58" s="301">
        <v>931.04472184813233</v>
      </c>
      <c r="Q58" s="301">
        <v>424.19485325855044</v>
      </c>
      <c r="R58" s="301">
        <v>-67.358379392613386</v>
      </c>
      <c r="S58" s="301">
        <v>-538.39347994080117</v>
      </c>
      <c r="T58" s="301">
        <v>-1068.9524859684057</v>
      </c>
      <c r="U58" s="301">
        <v>-1599.5114919960135</v>
      </c>
      <c r="V58" s="301">
        <v>-2130.0704980236187</v>
      </c>
      <c r="W58" s="301">
        <v>-2660.629504051225</v>
      </c>
      <c r="X58" s="307">
        <v>-3191.1885100788304</v>
      </c>
      <c r="Z58" s="356" t="s">
        <v>331</v>
      </c>
      <c r="AA58" s="312">
        <v>10</v>
      </c>
      <c r="AB58" s="301">
        <v>2733.9394133727037</v>
      </c>
      <c r="AC58" s="301">
        <v>2053.965020038971</v>
      </c>
      <c r="AD58" s="301">
        <v>1373.5177287738213</v>
      </c>
      <c r="AE58" s="301">
        <v>692.58240149857386</v>
      </c>
      <c r="AF58" s="301">
        <v>9.6036301513056035</v>
      </c>
      <c r="AG58" s="301">
        <v>-599.22196353075765</v>
      </c>
      <c r="AH58" s="301">
        <v>-1314.2790121093026</v>
      </c>
      <c r="AI58" s="301">
        <v>-2029.3360606878537</v>
      </c>
      <c r="AJ58" s="301">
        <v>-2744.3931092663997</v>
      </c>
      <c r="AK58" s="301">
        <v>-3459.4501578449485</v>
      </c>
      <c r="AL58" s="307">
        <v>-4174.5072064234982</v>
      </c>
    </row>
    <row r="59" spans="12:38" x14ac:dyDescent="0.25">
      <c r="L59" s="356" t="s">
        <v>331</v>
      </c>
      <c r="M59" s="290">
        <v>12</v>
      </c>
      <c r="N59" s="302">
        <v>1944.744459027308</v>
      </c>
      <c r="O59" s="302">
        <v>1336.5246167198002</v>
      </c>
      <c r="P59" s="302">
        <v>728.30477441229914</v>
      </c>
      <c r="Q59" s="302">
        <v>120.08493210480067</v>
      </c>
      <c r="R59" s="302">
        <v>-432.28167873528008</v>
      </c>
      <c r="S59" s="302">
        <v>-1068.9524859684066</v>
      </c>
      <c r="T59" s="302">
        <v>-1705.6232932015325</v>
      </c>
      <c r="U59" s="302">
        <v>-2342.2941004346617</v>
      </c>
      <c r="V59" s="302">
        <v>-2978.9649076677883</v>
      </c>
      <c r="W59" s="302">
        <v>-3615.6357149009154</v>
      </c>
      <c r="X59" s="308">
        <v>-4252.3065221340421</v>
      </c>
      <c r="Z59" s="356" t="s">
        <v>331</v>
      </c>
      <c r="AA59" s="290">
        <v>12</v>
      </c>
      <c r="AB59" s="302">
        <v>2733.9394133727037</v>
      </c>
      <c r="AC59" s="302">
        <v>1917.9701213548635</v>
      </c>
      <c r="AD59" s="302">
        <v>1101.1430233989447</v>
      </c>
      <c r="AE59" s="302">
        <v>282.84492244009118</v>
      </c>
      <c r="AF59" s="302">
        <v>-456.2105538150438</v>
      </c>
      <c r="AG59" s="302">
        <v>-1314.2790121093039</v>
      </c>
      <c r="AH59" s="302">
        <v>-2172.3474704035598</v>
      </c>
      <c r="AI59" s="302">
        <v>-3030.4159286978206</v>
      </c>
      <c r="AJ59" s="302">
        <v>-3888.4843869920787</v>
      </c>
      <c r="AK59" s="302">
        <v>-4746.5528452863364</v>
      </c>
      <c r="AL59" s="308">
        <v>-5604.6213035805931</v>
      </c>
    </row>
    <row r="60" spans="12:38" x14ac:dyDescent="0.25">
      <c r="L60" s="360">
        <v>2040</v>
      </c>
      <c r="M60" s="360"/>
      <c r="N60" s="361" t="s">
        <v>329</v>
      </c>
      <c r="O60" s="362"/>
      <c r="P60" s="362"/>
      <c r="Q60" s="362"/>
      <c r="R60" s="362"/>
      <c r="S60" s="362"/>
      <c r="T60" s="362"/>
      <c r="U60" s="362"/>
      <c r="V60" s="362"/>
      <c r="W60" s="362"/>
      <c r="X60" s="363"/>
      <c r="Z60" s="360">
        <v>2040</v>
      </c>
      <c r="AA60" s="360"/>
      <c r="AB60" s="361" t="s">
        <v>329</v>
      </c>
      <c r="AC60" s="362"/>
      <c r="AD60" s="362"/>
      <c r="AE60" s="362"/>
      <c r="AF60" s="362"/>
      <c r="AG60" s="362"/>
      <c r="AH60" s="362"/>
      <c r="AI60" s="362"/>
      <c r="AJ60" s="362"/>
      <c r="AK60" s="362"/>
      <c r="AL60" s="363"/>
    </row>
    <row r="61" spans="12:38" x14ac:dyDescent="0.25">
      <c r="L61" s="360"/>
      <c r="M61" s="360"/>
      <c r="N61" s="303">
        <v>0</v>
      </c>
      <c r="O61" s="298">
        <v>1</v>
      </c>
      <c r="P61" s="298">
        <v>2</v>
      </c>
      <c r="Q61" s="298">
        <v>3</v>
      </c>
      <c r="R61" s="298">
        <v>4</v>
      </c>
      <c r="S61" s="298">
        <v>5</v>
      </c>
      <c r="T61" s="298">
        <v>6</v>
      </c>
      <c r="U61" s="298">
        <v>7</v>
      </c>
      <c r="V61" s="298">
        <v>8</v>
      </c>
      <c r="W61" s="298">
        <v>9</v>
      </c>
      <c r="X61" s="304">
        <v>10</v>
      </c>
      <c r="Z61" s="360"/>
      <c r="AA61" s="360"/>
      <c r="AB61" s="303">
        <v>0</v>
      </c>
      <c r="AC61" s="298">
        <v>1</v>
      </c>
      <c r="AD61" s="298">
        <v>2</v>
      </c>
      <c r="AE61" s="298">
        <v>3</v>
      </c>
      <c r="AF61" s="298">
        <v>4</v>
      </c>
      <c r="AG61" s="298">
        <v>5</v>
      </c>
      <c r="AH61" s="298">
        <v>6</v>
      </c>
      <c r="AI61" s="298">
        <v>7</v>
      </c>
      <c r="AJ61" s="298">
        <v>8</v>
      </c>
      <c r="AK61" s="298">
        <v>9</v>
      </c>
      <c r="AL61" s="304">
        <v>10</v>
      </c>
    </row>
    <row r="62" spans="12:38" x14ac:dyDescent="0.25">
      <c r="L62" s="309" t="s">
        <v>333</v>
      </c>
      <c r="M62" s="331" t="s">
        <v>381</v>
      </c>
      <c r="N62" s="364" t="s">
        <v>332</v>
      </c>
      <c r="O62" s="354"/>
      <c r="P62" s="354"/>
      <c r="Q62" s="354"/>
      <c r="R62" s="354"/>
      <c r="S62" s="354"/>
      <c r="T62" s="354"/>
      <c r="U62" s="354"/>
      <c r="V62" s="354"/>
      <c r="W62" s="354"/>
      <c r="X62" s="354"/>
      <c r="Z62" s="334" t="s">
        <v>333</v>
      </c>
      <c r="AA62" s="334" t="s">
        <v>381</v>
      </c>
      <c r="AB62" s="364" t="s">
        <v>332</v>
      </c>
      <c r="AC62" s="354"/>
      <c r="AD62" s="354"/>
      <c r="AE62" s="354"/>
      <c r="AF62" s="354"/>
      <c r="AG62" s="354"/>
      <c r="AH62" s="354"/>
      <c r="AI62" s="354"/>
      <c r="AJ62" s="354"/>
      <c r="AK62" s="354"/>
      <c r="AL62" s="354"/>
    </row>
    <row r="63" spans="12:38" x14ac:dyDescent="0.25">
      <c r="L63" s="356" t="s">
        <v>328</v>
      </c>
      <c r="M63" s="310">
        <v>6</v>
      </c>
      <c r="N63" s="299">
        <v>693.35786670402842</v>
      </c>
      <c r="O63" s="299">
        <v>452.54739043559783</v>
      </c>
      <c r="P63" s="299">
        <v>211.73691416717014</v>
      </c>
      <c r="Q63" s="299">
        <v>-24.495226949313583</v>
      </c>
      <c r="R63" s="299">
        <v>-227.38427258544024</v>
      </c>
      <c r="S63" s="299">
        <v>-430.27331822156617</v>
      </c>
      <c r="T63" s="299">
        <v>-633.16236385769116</v>
      </c>
      <c r="U63" s="299">
        <v>-870.95291557930739</v>
      </c>
      <c r="V63" s="299">
        <v>-1131.5625896088936</v>
      </c>
      <c r="W63" s="299">
        <v>-1392.1722636384825</v>
      </c>
      <c r="X63" s="305">
        <v>-1652.7819376680686</v>
      </c>
      <c r="Z63" s="356" t="s">
        <v>328</v>
      </c>
      <c r="AA63" s="310">
        <v>6</v>
      </c>
      <c r="AB63" s="299">
        <v>971.38441705328125</v>
      </c>
      <c r="AC63" s="299">
        <v>654.95527177587439</v>
      </c>
      <c r="AD63" s="299">
        <v>338.52612649847106</v>
      </c>
      <c r="AE63" s="299">
        <v>22.096981221064254</v>
      </c>
      <c r="AF63" s="299">
        <v>-247.98244989491263</v>
      </c>
      <c r="AG63" s="299">
        <v>-514.58217716435729</v>
      </c>
      <c r="AH63" s="299">
        <v>-781.18190443379979</v>
      </c>
      <c r="AI63" s="299">
        <v>-1074.4643000187609</v>
      </c>
      <c r="AJ63" s="299">
        <v>-1416.9099347854251</v>
      </c>
      <c r="AK63" s="299">
        <v>-1759.3555695520872</v>
      </c>
      <c r="AL63" s="305">
        <v>-2101.8012043187537</v>
      </c>
    </row>
    <row r="64" spans="12:38" x14ac:dyDescent="0.25">
      <c r="L64" s="356" t="s">
        <v>328</v>
      </c>
      <c r="M64" s="311">
        <v>8</v>
      </c>
      <c r="N64" s="300">
        <v>693.35786670402842</v>
      </c>
      <c r="O64" s="300">
        <v>372.27723167945288</v>
      </c>
      <c r="P64" s="300">
        <v>51.196596654877524</v>
      </c>
      <c r="Q64" s="300">
        <v>-227.38427258544206</v>
      </c>
      <c r="R64" s="300">
        <v>-497.90300010027772</v>
      </c>
      <c r="S64" s="300">
        <v>-784.0830242361111</v>
      </c>
      <c r="T64" s="300">
        <v>-1131.5625896088943</v>
      </c>
      <c r="U64" s="300">
        <v>-1479.0421549816808</v>
      </c>
      <c r="V64" s="300">
        <v>-1826.5217203544637</v>
      </c>
      <c r="W64" s="300">
        <v>-2174.0012857272427</v>
      </c>
      <c r="X64" s="306">
        <v>-2521.4808511000233</v>
      </c>
      <c r="Z64" s="356" t="s">
        <v>328</v>
      </c>
      <c r="AA64" s="311">
        <v>8</v>
      </c>
      <c r="AB64" s="300">
        <v>971.38441705328125</v>
      </c>
      <c r="AC64" s="300">
        <v>549.47889001674082</v>
      </c>
      <c r="AD64" s="300">
        <v>127.57336298019881</v>
      </c>
      <c r="AE64" s="300">
        <v>-247.98244989492164</v>
      </c>
      <c r="AF64" s="300">
        <v>-603.4487529208352</v>
      </c>
      <c r="AG64" s="300">
        <v>-961.51653375200726</v>
      </c>
      <c r="AH64" s="300">
        <v>-1416.9099347854235</v>
      </c>
      <c r="AI64" s="300">
        <v>-1873.5041144743082</v>
      </c>
      <c r="AJ64" s="300">
        <v>-2330.0982941631955</v>
      </c>
      <c r="AK64" s="300">
        <v>-2786.6924738520806</v>
      </c>
      <c r="AL64" s="306">
        <v>-3243.2866535409648</v>
      </c>
    </row>
    <row r="65" spans="12:38" x14ac:dyDescent="0.25">
      <c r="L65" s="356" t="s">
        <v>328</v>
      </c>
      <c r="M65" s="312">
        <v>10</v>
      </c>
      <c r="N65" s="301">
        <v>693.35786670402842</v>
      </c>
      <c r="O65" s="301">
        <v>292.00707292331435</v>
      </c>
      <c r="P65" s="301">
        <v>-92.124908828024857</v>
      </c>
      <c r="Q65" s="301">
        <v>-430.27331822156668</v>
      </c>
      <c r="R65" s="301">
        <v>-784.08302423611133</v>
      </c>
      <c r="S65" s="301">
        <v>-1218.432480952089</v>
      </c>
      <c r="T65" s="301">
        <v>-1652.7819376680682</v>
      </c>
      <c r="U65" s="301">
        <v>-2087.1313943840469</v>
      </c>
      <c r="V65" s="301">
        <v>-2521.480851100026</v>
      </c>
      <c r="W65" s="301">
        <v>-2955.8303078160038</v>
      </c>
      <c r="X65" s="307">
        <v>-3390.1797645319812</v>
      </c>
      <c r="Z65" s="356" t="s">
        <v>328</v>
      </c>
      <c r="AA65" s="312">
        <v>10</v>
      </c>
      <c r="AB65" s="301">
        <v>971.38441705328125</v>
      </c>
      <c r="AC65" s="301">
        <v>444.0025082576073</v>
      </c>
      <c r="AD65" s="301">
        <v>-70.249298381955825</v>
      </c>
      <c r="AE65" s="301">
        <v>-514.5821771643582</v>
      </c>
      <c r="AF65" s="301">
        <v>-961.5178773844915</v>
      </c>
      <c r="AG65" s="301">
        <v>-1531.0584797076463</v>
      </c>
      <c r="AH65" s="301">
        <v>-2101.8012043187514</v>
      </c>
      <c r="AI65" s="301">
        <v>-2672.5439289298597</v>
      </c>
      <c r="AJ65" s="301">
        <v>-3243.2866535409644</v>
      </c>
      <c r="AK65" s="301">
        <v>-3814.0293781520731</v>
      </c>
      <c r="AL65" s="307">
        <v>-4384.7721027631796</v>
      </c>
    </row>
    <row r="66" spans="12:38" x14ac:dyDescent="0.25">
      <c r="L66" s="356" t="s">
        <v>328</v>
      </c>
      <c r="M66" s="290">
        <v>12</v>
      </c>
      <c r="N66" s="302">
        <v>693.35786670402842</v>
      </c>
      <c r="O66" s="302">
        <v>211.73691416717014</v>
      </c>
      <c r="P66" s="302">
        <v>-227.38427258543692</v>
      </c>
      <c r="Q66" s="302">
        <v>-633.1623638576923</v>
      </c>
      <c r="R66" s="302">
        <v>-1131.5625896088939</v>
      </c>
      <c r="S66" s="302">
        <v>-1652.7819376680679</v>
      </c>
      <c r="T66" s="302">
        <v>-2174.0012857272422</v>
      </c>
      <c r="U66" s="302">
        <v>-2695.2206337864154</v>
      </c>
      <c r="V66" s="302">
        <v>-3216.43998184559</v>
      </c>
      <c r="W66" s="302">
        <v>-3737.6593299047677</v>
      </c>
      <c r="X66" s="308">
        <v>-4258.8786779639377</v>
      </c>
      <c r="Z66" s="356" t="s">
        <v>328</v>
      </c>
      <c r="AA66" s="290">
        <v>12</v>
      </c>
      <c r="AB66" s="302">
        <v>971.38441705328125</v>
      </c>
      <c r="AC66" s="302">
        <v>338.52612649847106</v>
      </c>
      <c r="AD66" s="302">
        <v>-247.98244989491502</v>
      </c>
      <c r="AE66" s="302">
        <v>-781.1819044337966</v>
      </c>
      <c r="AF66" s="302">
        <v>-1416.9099347854242</v>
      </c>
      <c r="AG66" s="302">
        <v>-2101.8012043187528</v>
      </c>
      <c r="AH66" s="302">
        <v>-2786.6924738520806</v>
      </c>
      <c r="AI66" s="302">
        <v>-3471.583743385409</v>
      </c>
      <c r="AJ66" s="302">
        <v>-4156.475012918735</v>
      </c>
      <c r="AK66" s="302">
        <v>-4841.3662824520597</v>
      </c>
      <c r="AL66" s="308">
        <v>-5526.2575519853899</v>
      </c>
    </row>
    <row r="67" spans="12:38" x14ac:dyDescent="0.25">
      <c r="L67" s="356" t="s">
        <v>330</v>
      </c>
      <c r="M67" s="310">
        <v>6</v>
      </c>
      <c r="N67" s="299">
        <v>2098.2350369375531</v>
      </c>
      <c r="O67" s="299">
        <v>1837.6253629079663</v>
      </c>
      <c r="P67" s="299">
        <v>1577.0156888783799</v>
      </c>
      <c r="Q67" s="299">
        <v>1316.4060148487918</v>
      </c>
      <c r="R67" s="299">
        <v>1055.796340819204</v>
      </c>
      <c r="S67" s="299">
        <v>795.18666678962018</v>
      </c>
      <c r="T67" s="299">
        <v>534.57699276003041</v>
      </c>
      <c r="U67" s="299">
        <v>273.96731873044371</v>
      </c>
      <c r="V67" s="299">
        <v>13.357644700857122</v>
      </c>
      <c r="W67" s="299">
        <v>-247.25202932873071</v>
      </c>
      <c r="X67" s="305">
        <v>-507.86170335831753</v>
      </c>
      <c r="Z67" s="356" t="s">
        <v>330</v>
      </c>
      <c r="AA67" s="310">
        <v>6</v>
      </c>
      <c r="AB67" s="299">
        <v>2845.2492613909267</v>
      </c>
      <c r="AC67" s="299">
        <v>2502.8036266242621</v>
      </c>
      <c r="AD67" s="299">
        <v>2160.357991857597</v>
      </c>
      <c r="AE67" s="299">
        <v>1817.9123570909342</v>
      </c>
      <c r="AF67" s="299">
        <v>1475.4667223242709</v>
      </c>
      <c r="AG67" s="299">
        <v>1133.021087557604</v>
      </c>
      <c r="AH67" s="299">
        <v>790.57545279094165</v>
      </c>
      <c r="AI67" s="299">
        <v>448.12981802427578</v>
      </c>
      <c r="AJ67" s="299">
        <v>105.68418325761274</v>
      </c>
      <c r="AK67" s="299">
        <v>-236.76145150905108</v>
      </c>
      <c r="AL67" s="305">
        <v>-579.20708627571605</v>
      </c>
    </row>
    <row r="68" spans="12:38" x14ac:dyDescent="0.25">
      <c r="L68" s="356" t="s">
        <v>330</v>
      </c>
      <c r="M68" s="311">
        <v>8</v>
      </c>
      <c r="N68" s="300">
        <v>1913.8827898822481</v>
      </c>
      <c r="O68" s="300">
        <v>1566.40322450945</v>
      </c>
      <c r="P68" s="300">
        <v>1218.9236591366719</v>
      </c>
      <c r="Q68" s="300">
        <v>871.44409376388558</v>
      </c>
      <c r="R68" s="300">
        <v>523.96452839110236</v>
      </c>
      <c r="S68" s="300">
        <v>176.48496301832171</v>
      </c>
      <c r="T68" s="300">
        <v>-170.99460235446534</v>
      </c>
      <c r="U68" s="300">
        <v>-518.47416772724205</v>
      </c>
      <c r="V68" s="300">
        <v>-865.95373310002992</v>
      </c>
      <c r="W68" s="300">
        <v>-1213.4332984728107</v>
      </c>
      <c r="X68" s="306">
        <v>-1560.9128638455923</v>
      </c>
      <c r="Z68" s="356" t="s">
        <v>330</v>
      </c>
      <c r="AA68" s="311">
        <v>8</v>
      </c>
      <c r="AB68" s="300">
        <v>2601.5079613880475</v>
      </c>
      <c r="AC68" s="300">
        <v>2144.9137816991652</v>
      </c>
      <c r="AD68" s="300">
        <v>1688.3196020102814</v>
      </c>
      <c r="AE68" s="300">
        <v>1231.7254223213954</v>
      </c>
      <c r="AF68" s="300">
        <v>775.13124263251154</v>
      </c>
      <c r="AG68" s="300">
        <v>318.53706294362445</v>
      </c>
      <c r="AH68" s="300">
        <v>-138.05711674526214</v>
      </c>
      <c r="AI68" s="300">
        <v>-594.65129643414775</v>
      </c>
      <c r="AJ68" s="300">
        <v>-1051.2454761230333</v>
      </c>
      <c r="AK68" s="300">
        <v>-1507.8396558119164</v>
      </c>
      <c r="AL68" s="306">
        <v>-1964.4338355008044</v>
      </c>
    </row>
    <row r="69" spans="12:38" x14ac:dyDescent="0.25">
      <c r="L69" s="356" t="s">
        <v>330</v>
      </c>
      <c r="M69" s="312">
        <v>10</v>
      </c>
      <c r="N69" s="301">
        <v>1729.5305428269182</v>
      </c>
      <c r="O69" s="301">
        <v>1295.1810861109343</v>
      </c>
      <c r="P69" s="301">
        <v>860.83162939495412</v>
      </c>
      <c r="Q69" s="301">
        <v>426.4821726789815</v>
      </c>
      <c r="R69" s="301">
        <v>-7.867284036999564</v>
      </c>
      <c r="S69" s="301">
        <v>-442.21674075297733</v>
      </c>
      <c r="T69" s="301">
        <v>-876.56619746895581</v>
      </c>
      <c r="U69" s="301">
        <v>-1310.9156541849359</v>
      </c>
      <c r="V69" s="301">
        <v>-1745.2651109009112</v>
      </c>
      <c r="W69" s="301">
        <v>-2179.6145676168899</v>
      </c>
      <c r="X69" s="307">
        <v>-2613.9640243328686</v>
      </c>
      <c r="Z69" s="356" t="s">
        <v>330</v>
      </c>
      <c r="AA69" s="312">
        <v>10</v>
      </c>
      <c r="AB69" s="301">
        <v>2357.7666613851793</v>
      </c>
      <c r="AC69" s="301">
        <v>1787.0239367740717</v>
      </c>
      <c r="AD69" s="301">
        <v>1216.2812121629688</v>
      </c>
      <c r="AE69" s="301">
        <v>645.5384875518572</v>
      </c>
      <c r="AF69" s="301">
        <v>74.795762940751928</v>
      </c>
      <c r="AG69" s="301">
        <v>-495.94696167035642</v>
      </c>
      <c r="AH69" s="301">
        <v>-1066.6896862814619</v>
      </c>
      <c r="AI69" s="301">
        <v>-1637.4324108925698</v>
      </c>
      <c r="AJ69" s="301">
        <v>-2208.1751355036736</v>
      </c>
      <c r="AK69" s="301">
        <v>-2778.917860114781</v>
      </c>
      <c r="AL69" s="307">
        <v>-3349.6605847258897</v>
      </c>
    </row>
    <row r="70" spans="12:38" x14ac:dyDescent="0.25">
      <c r="L70" s="356" t="s">
        <v>330</v>
      </c>
      <c r="M70" s="290">
        <v>12</v>
      </c>
      <c r="N70" s="302">
        <v>1545.1782957715748</v>
      </c>
      <c r="O70" s="302">
        <v>1023.9589477124206</v>
      </c>
      <c r="P70" s="302">
        <v>502.73959965324508</v>
      </c>
      <c r="Q70" s="302">
        <v>-18.479748405927239</v>
      </c>
      <c r="R70" s="302">
        <v>-539.69909646510166</v>
      </c>
      <c r="S70" s="302">
        <v>-1060.9184445242749</v>
      </c>
      <c r="T70" s="302">
        <v>-1582.1377925834502</v>
      </c>
      <c r="U70" s="302">
        <v>-2103.3571406426199</v>
      </c>
      <c r="V70" s="302">
        <v>-2624.5764887017995</v>
      </c>
      <c r="W70" s="302">
        <v>-3145.7958367609685</v>
      </c>
      <c r="X70" s="308">
        <v>-3667.0151848201458</v>
      </c>
      <c r="Z70" s="356" t="s">
        <v>330</v>
      </c>
      <c r="AA70" s="290">
        <v>12</v>
      </c>
      <c r="AB70" s="302">
        <v>2114.0253613823097</v>
      </c>
      <c r="AC70" s="302">
        <v>1429.1340918489766</v>
      </c>
      <c r="AD70" s="302">
        <v>744.24282231564825</v>
      </c>
      <c r="AE70" s="302">
        <v>59.351552782321846</v>
      </c>
      <c r="AF70" s="302">
        <v>-625.53971675100638</v>
      </c>
      <c r="AG70" s="302">
        <v>-1310.4309862843352</v>
      </c>
      <c r="AH70" s="302">
        <v>-1995.3222558176622</v>
      </c>
      <c r="AI70" s="302">
        <v>-2680.2135253509937</v>
      </c>
      <c r="AJ70" s="302">
        <v>-3365.1047948843197</v>
      </c>
      <c r="AK70" s="302">
        <v>-4049.9960644176472</v>
      </c>
      <c r="AL70" s="308">
        <v>-4734.8873339509755</v>
      </c>
    </row>
    <row r="71" spans="12:38" x14ac:dyDescent="0.25">
      <c r="L71" s="356" t="s">
        <v>314</v>
      </c>
      <c r="M71" s="310">
        <v>6</v>
      </c>
      <c r="N71" s="299">
        <v>1434.3742503653768</v>
      </c>
      <c r="O71" s="299">
        <v>1193.5624681356633</v>
      </c>
      <c r="P71" s="299">
        <v>952.75199186723512</v>
      </c>
      <c r="Q71" s="299">
        <v>711.94151559880231</v>
      </c>
      <c r="R71" s="299">
        <v>471.07401490920671</v>
      </c>
      <c r="S71" s="299">
        <v>229.37625510323397</v>
      </c>
      <c r="T71" s="299">
        <v>-23.587949939736149</v>
      </c>
      <c r="U71" s="299">
        <v>-284.1976239693239</v>
      </c>
      <c r="V71" s="299">
        <v>-544.80729799891026</v>
      </c>
      <c r="W71" s="299">
        <v>-805.41697202849866</v>
      </c>
      <c r="X71" s="305">
        <v>-1066.0266460580849</v>
      </c>
      <c r="Z71" s="356" t="s">
        <v>314</v>
      </c>
      <c r="AA71" s="310">
        <v>6</v>
      </c>
      <c r="AB71" s="299">
        <v>1955.4138392844225</v>
      </c>
      <c r="AC71" s="299">
        <v>1639.4174368179022</v>
      </c>
      <c r="AD71" s="299">
        <v>1323.2077418167987</v>
      </c>
      <c r="AE71" s="299">
        <v>1006.5273001516138</v>
      </c>
      <c r="AF71" s="299">
        <v>689.60076180163719</v>
      </c>
      <c r="AG71" s="299">
        <v>372.6006486548232</v>
      </c>
      <c r="AH71" s="299">
        <v>52.642696211392519</v>
      </c>
      <c r="AI71" s="299">
        <v>-289.80293855527214</v>
      </c>
      <c r="AJ71" s="299">
        <v>-632.24857332193574</v>
      </c>
      <c r="AK71" s="299">
        <v>-974.69420808860013</v>
      </c>
      <c r="AL71" s="305">
        <v>-1317.1398428552686</v>
      </c>
    </row>
    <row r="72" spans="12:38" x14ac:dyDescent="0.25">
      <c r="L72" s="356" t="s">
        <v>314</v>
      </c>
      <c r="M72" s="311">
        <v>8</v>
      </c>
      <c r="N72" s="300">
        <v>1434.3742503653768</v>
      </c>
      <c r="O72" s="300">
        <v>1113.2923093795175</v>
      </c>
      <c r="P72" s="300">
        <v>792.2116743549459</v>
      </c>
      <c r="Q72" s="300">
        <v>471.07519994238714</v>
      </c>
      <c r="R72" s="300">
        <v>148.2826042876695</v>
      </c>
      <c r="S72" s="300">
        <v>-197.32773262612784</v>
      </c>
      <c r="T72" s="300">
        <v>-544.80729799891071</v>
      </c>
      <c r="U72" s="300">
        <v>-892.28686337169336</v>
      </c>
      <c r="V72" s="300">
        <v>-1239.7664287444754</v>
      </c>
      <c r="W72" s="300">
        <v>-1587.2459941172581</v>
      </c>
      <c r="X72" s="306">
        <v>-1934.7255594900412</v>
      </c>
      <c r="Z72" s="356" t="s">
        <v>314</v>
      </c>
      <c r="AA72" s="311">
        <v>8</v>
      </c>
      <c r="AB72" s="300">
        <v>1955.4138392844225</v>
      </c>
      <c r="AC72" s="300">
        <v>1534.0815503969288</v>
      </c>
      <c r="AD72" s="300">
        <v>1112.1176467447624</v>
      </c>
      <c r="AE72" s="300">
        <v>689.60076180163776</v>
      </c>
      <c r="AF72" s="300">
        <v>266.75369710599006</v>
      </c>
      <c r="AG72" s="300">
        <v>-175.65439363305211</v>
      </c>
      <c r="AH72" s="300">
        <v>-632.24857332193574</v>
      </c>
      <c r="AI72" s="300">
        <v>-1088.8427530108218</v>
      </c>
      <c r="AJ72" s="300">
        <v>-1545.4369326997066</v>
      </c>
      <c r="AK72" s="300">
        <v>-2002.0311123885915</v>
      </c>
      <c r="AL72" s="306">
        <v>-2458.6252920774778</v>
      </c>
    </row>
    <row r="73" spans="12:38" x14ac:dyDescent="0.25">
      <c r="L73" s="356" t="s">
        <v>314</v>
      </c>
      <c r="M73" s="312">
        <v>10</v>
      </c>
      <c r="N73" s="301">
        <v>1434.3742503653768</v>
      </c>
      <c r="O73" s="301">
        <v>1033.022150623374</v>
      </c>
      <c r="P73" s="301">
        <v>631.67190497918898</v>
      </c>
      <c r="Q73" s="301">
        <v>229.3762551032336</v>
      </c>
      <c r="R73" s="301">
        <v>-197.32773262612707</v>
      </c>
      <c r="S73" s="301">
        <v>-631.6771893421062</v>
      </c>
      <c r="T73" s="301">
        <v>-1066.026646058084</v>
      </c>
      <c r="U73" s="301">
        <v>-1500.3761027740627</v>
      </c>
      <c r="V73" s="301">
        <v>-1934.7255594900412</v>
      </c>
      <c r="W73" s="301">
        <v>-2369.075016206019</v>
      </c>
      <c r="X73" s="307">
        <v>-2803.4244729219968</v>
      </c>
      <c r="Z73" s="356" t="s">
        <v>314</v>
      </c>
      <c r="AA73" s="312">
        <v>10</v>
      </c>
      <c r="AB73" s="301">
        <v>1955.4138392844225</v>
      </c>
      <c r="AC73" s="301">
        <v>1428.7462261368048</v>
      </c>
      <c r="AD73" s="301">
        <v>900.8894372073712</v>
      </c>
      <c r="AE73" s="301">
        <v>372.60064865482383</v>
      </c>
      <c r="AF73" s="301">
        <v>-175.6543936330512</v>
      </c>
      <c r="AG73" s="301">
        <v>-746.39711824415792</v>
      </c>
      <c r="AH73" s="301">
        <v>-1317.1398428552639</v>
      </c>
      <c r="AI73" s="301">
        <v>-1887.8825674663715</v>
      </c>
      <c r="AJ73" s="301">
        <v>-2458.6252920774778</v>
      </c>
      <c r="AK73" s="301">
        <v>-3029.3680166885847</v>
      </c>
      <c r="AL73" s="307">
        <v>-3600.1107412996907</v>
      </c>
    </row>
    <row r="74" spans="12:38" x14ac:dyDescent="0.25">
      <c r="L74" s="356" t="s">
        <v>314</v>
      </c>
      <c r="M74" s="290">
        <v>12</v>
      </c>
      <c r="N74" s="302">
        <v>1434.3742503653768</v>
      </c>
      <c r="O74" s="302">
        <v>952.75199186723512</v>
      </c>
      <c r="P74" s="302">
        <v>471.07412320638349</v>
      </c>
      <c r="Q74" s="302">
        <v>-23.587949939737896</v>
      </c>
      <c r="R74" s="302">
        <v>-544.80729799890969</v>
      </c>
      <c r="S74" s="302">
        <v>-1066.0266460580838</v>
      </c>
      <c r="T74" s="302">
        <v>-1587.2459941172597</v>
      </c>
      <c r="U74" s="302">
        <v>-2108.4653421764324</v>
      </c>
      <c r="V74" s="302">
        <v>-2629.684690235606</v>
      </c>
      <c r="W74" s="302">
        <v>-3150.9040382947792</v>
      </c>
      <c r="X74" s="308">
        <v>-3672.1233863539524</v>
      </c>
      <c r="Z74" s="356" t="s">
        <v>314</v>
      </c>
      <c r="AA74" s="290">
        <v>12</v>
      </c>
      <c r="AB74" s="302">
        <v>1955.4138392844225</v>
      </c>
      <c r="AC74" s="302">
        <v>1323.2077418167987</v>
      </c>
      <c r="AD74" s="302">
        <v>689.60076180163799</v>
      </c>
      <c r="AE74" s="302">
        <v>52.642696211391751</v>
      </c>
      <c r="AF74" s="302">
        <v>-632.24857332193574</v>
      </c>
      <c r="AG74" s="302">
        <v>-1317.1398428552643</v>
      </c>
      <c r="AH74" s="302">
        <v>-2002.0311123885922</v>
      </c>
      <c r="AI74" s="302">
        <v>-2686.9223819219214</v>
      </c>
      <c r="AJ74" s="302">
        <v>-3371.8136514552489</v>
      </c>
      <c r="AK74" s="302">
        <v>-4056.7049209885759</v>
      </c>
      <c r="AL74" s="308">
        <v>-4741.5961905219046</v>
      </c>
    </row>
    <row r="75" spans="12:38" x14ac:dyDescent="0.25">
      <c r="L75" s="356" t="s">
        <v>331</v>
      </c>
      <c r="M75" s="310">
        <v>6</v>
      </c>
      <c r="N75" s="299">
        <v>1712.8373753414949</v>
      </c>
      <c r="O75" s="299">
        <v>1472.0268990730585</v>
      </c>
      <c r="P75" s="299">
        <v>1231.2164228046311</v>
      </c>
      <c r="Q75" s="299">
        <v>990.40594653619701</v>
      </c>
      <c r="R75" s="299">
        <v>749.59547026776625</v>
      </c>
      <c r="S75" s="299">
        <v>508.78499399933605</v>
      </c>
      <c r="T75" s="299">
        <v>267.97451773090501</v>
      </c>
      <c r="U75" s="299">
        <v>27.164041462473076</v>
      </c>
      <c r="V75" s="299">
        <v>-212.29867326421009</v>
      </c>
      <c r="W75" s="299">
        <v>-472.90834729379617</v>
      </c>
      <c r="X75" s="305">
        <v>-733.51802132338332</v>
      </c>
      <c r="Z75" s="356" t="s">
        <v>331</v>
      </c>
      <c r="AA75" s="310">
        <v>6</v>
      </c>
      <c r="AB75" s="299">
        <v>2337.1350959258052</v>
      </c>
      <c r="AC75" s="299">
        <v>2021.1330812779036</v>
      </c>
      <c r="AD75" s="299">
        <v>1705.1300996708321</v>
      </c>
      <c r="AE75" s="299">
        <v>1389.1268341273251</v>
      </c>
      <c r="AF75" s="299">
        <v>1073.1177709326237</v>
      </c>
      <c r="AG75" s="299">
        <v>757.11480939625744</v>
      </c>
      <c r="AH75" s="299">
        <v>441.12032092120791</v>
      </c>
      <c r="AI75" s="299">
        <v>125.11519163551503</v>
      </c>
      <c r="AJ75" s="299">
        <v>-184.33633867121719</v>
      </c>
      <c r="AK75" s="299">
        <v>-526.78197343788247</v>
      </c>
      <c r="AL75" s="305">
        <v>-869.22760820454607</v>
      </c>
    </row>
    <row r="76" spans="12:38" x14ac:dyDescent="0.25">
      <c r="L76" s="356" t="s">
        <v>331</v>
      </c>
      <c r="M76" s="311">
        <v>8</v>
      </c>
      <c r="N76" s="300">
        <v>1712.8373753414949</v>
      </c>
      <c r="O76" s="300">
        <v>1391.7567403169239</v>
      </c>
      <c r="P76" s="300">
        <v>1070.6761052923428</v>
      </c>
      <c r="Q76" s="300">
        <v>749.59547026776693</v>
      </c>
      <c r="R76" s="300">
        <v>428.5148352431911</v>
      </c>
      <c r="S76" s="300">
        <v>107.43420021861841</v>
      </c>
      <c r="T76" s="300">
        <v>-212.29867326421078</v>
      </c>
      <c r="U76" s="300">
        <v>-559.77823863699291</v>
      </c>
      <c r="V76" s="300">
        <v>-907.25780400977567</v>
      </c>
      <c r="W76" s="300">
        <v>-1254.7373693825575</v>
      </c>
      <c r="X76" s="306">
        <v>-1602.2169347553418</v>
      </c>
      <c r="Z76" s="356" t="s">
        <v>331</v>
      </c>
      <c r="AA76" s="311">
        <v>8</v>
      </c>
      <c r="AB76" s="300">
        <v>2337.1350959258052</v>
      </c>
      <c r="AC76" s="300">
        <v>1915.7987540755512</v>
      </c>
      <c r="AD76" s="300">
        <v>1494.461445266129</v>
      </c>
      <c r="AE76" s="300">
        <v>1073.1274325830775</v>
      </c>
      <c r="AF76" s="300">
        <v>651.78786880145105</v>
      </c>
      <c r="AG76" s="300">
        <v>230.44951883786931</v>
      </c>
      <c r="AH76" s="300">
        <v>-184.33633867121526</v>
      </c>
      <c r="AI76" s="300">
        <v>-640.93051836010295</v>
      </c>
      <c r="AJ76" s="300">
        <v>-1097.5246980489896</v>
      </c>
      <c r="AK76" s="300">
        <v>-1554.1188777378736</v>
      </c>
      <c r="AL76" s="306">
        <v>-2010.7130574267594</v>
      </c>
    </row>
    <row r="77" spans="12:38" x14ac:dyDescent="0.25">
      <c r="L77" s="356" t="s">
        <v>331</v>
      </c>
      <c r="M77" s="312">
        <v>10</v>
      </c>
      <c r="N77" s="301">
        <v>1712.8373753414949</v>
      </c>
      <c r="O77" s="301">
        <v>1311.4865815607773</v>
      </c>
      <c r="P77" s="301">
        <v>910.13671195854863</v>
      </c>
      <c r="Q77" s="301">
        <v>508.78499399933463</v>
      </c>
      <c r="R77" s="301">
        <v>107.43420021861917</v>
      </c>
      <c r="S77" s="301">
        <v>-299.16856460740667</v>
      </c>
      <c r="T77" s="301">
        <v>-733.5180213233848</v>
      </c>
      <c r="U77" s="301">
        <v>-1167.8674780393612</v>
      </c>
      <c r="V77" s="301">
        <v>-1602.2169347553402</v>
      </c>
      <c r="W77" s="301">
        <v>-2036.566391471318</v>
      </c>
      <c r="X77" s="307">
        <v>-2470.9158481872973</v>
      </c>
      <c r="Z77" s="356" t="s">
        <v>331</v>
      </c>
      <c r="AA77" s="312">
        <v>10</v>
      </c>
      <c r="AB77" s="301">
        <v>2337.1350959258052</v>
      </c>
      <c r="AC77" s="301">
        <v>1810.4644268731988</v>
      </c>
      <c r="AD77" s="301">
        <v>1283.7927908614199</v>
      </c>
      <c r="AE77" s="301">
        <v>757.1211548496442</v>
      </c>
      <c r="AF77" s="301">
        <v>230.44951883786928</v>
      </c>
      <c r="AG77" s="301">
        <v>-298.48488359343867</v>
      </c>
      <c r="AH77" s="301">
        <v>-869.22760820454619</v>
      </c>
      <c r="AI77" s="301">
        <v>-1439.9703328156531</v>
      </c>
      <c r="AJ77" s="301">
        <v>-2010.7130574267592</v>
      </c>
      <c r="AK77" s="301">
        <v>-2581.4557820378654</v>
      </c>
      <c r="AL77" s="307">
        <v>-3152.1985066489738</v>
      </c>
    </row>
    <row r="78" spans="12:38" x14ac:dyDescent="0.25">
      <c r="L78" s="356" t="s">
        <v>331</v>
      </c>
      <c r="M78" s="290">
        <v>12</v>
      </c>
      <c r="N78" s="302">
        <v>1712.8373753414949</v>
      </c>
      <c r="O78" s="302">
        <v>1231.2164228046311</v>
      </c>
      <c r="P78" s="302">
        <v>749.59547026776579</v>
      </c>
      <c r="Q78" s="302">
        <v>267.97451773090393</v>
      </c>
      <c r="R78" s="302">
        <v>-212.29867326421174</v>
      </c>
      <c r="S78" s="302">
        <v>-733.51802132338787</v>
      </c>
      <c r="T78" s="302">
        <v>-1254.7373693825582</v>
      </c>
      <c r="U78" s="302">
        <v>-1775.9567174417327</v>
      </c>
      <c r="V78" s="302">
        <v>-2297.1760655009057</v>
      </c>
      <c r="W78" s="302">
        <v>-2818.3954135600789</v>
      </c>
      <c r="X78" s="308">
        <v>-3339.6147616192529</v>
      </c>
      <c r="Z78" s="356" t="s">
        <v>331</v>
      </c>
      <c r="AA78" s="290">
        <v>12</v>
      </c>
      <c r="AB78" s="302">
        <v>2337.1350959258052</v>
      </c>
      <c r="AC78" s="302">
        <v>1705.1300996708321</v>
      </c>
      <c r="AD78" s="302">
        <v>1073.1241364567106</v>
      </c>
      <c r="AE78" s="302">
        <v>441.11977718099178</v>
      </c>
      <c r="AF78" s="302">
        <v>-184.33633867121648</v>
      </c>
      <c r="AG78" s="302">
        <v>-869.22760820454596</v>
      </c>
      <c r="AH78" s="302">
        <v>-1554.1188777378745</v>
      </c>
      <c r="AI78" s="302">
        <v>-2239.0101472712013</v>
      </c>
      <c r="AJ78" s="302">
        <v>-2923.9014168045305</v>
      </c>
      <c r="AK78" s="302">
        <v>-3608.7926863378589</v>
      </c>
      <c r="AL78" s="308">
        <v>-4293.6839558711854</v>
      </c>
    </row>
  </sheetData>
  <mergeCells count="73">
    <mergeCell ref="Z67:Z70"/>
    <mergeCell ref="Z71:Z74"/>
    <mergeCell ref="Z75:Z78"/>
    <mergeCell ref="Z56:Z59"/>
    <mergeCell ref="Z60:AA61"/>
    <mergeCell ref="AB62:AL62"/>
    <mergeCell ref="Z63:Z66"/>
    <mergeCell ref="AB41:AL41"/>
    <mergeCell ref="AB43:AL43"/>
    <mergeCell ref="Z44:Z47"/>
    <mergeCell ref="Z48:Z51"/>
    <mergeCell ref="Z52:Z55"/>
    <mergeCell ref="Z29:Z32"/>
    <mergeCell ref="Z33:Z36"/>
    <mergeCell ref="Z37:Z40"/>
    <mergeCell ref="Z41:AA42"/>
    <mergeCell ref="AB60:AL60"/>
    <mergeCell ref="Z18:Z21"/>
    <mergeCell ref="Z22:AA23"/>
    <mergeCell ref="AB22:AL22"/>
    <mergeCell ref="AB24:AL24"/>
    <mergeCell ref="Z25:Z28"/>
    <mergeCell ref="L75:L78"/>
    <mergeCell ref="L29:L32"/>
    <mergeCell ref="L33:L36"/>
    <mergeCell ref="L37:L40"/>
    <mergeCell ref="L67:L70"/>
    <mergeCell ref="L48:L51"/>
    <mergeCell ref="L52:L55"/>
    <mergeCell ref="L56:L59"/>
    <mergeCell ref="L63:L66"/>
    <mergeCell ref="L71:L74"/>
    <mergeCell ref="L44:L47"/>
    <mergeCell ref="B27:D27"/>
    <mergeCell ref="N60:X60"/>
    <mergeCell ref="N62:X62"/>
    <mergeCell ref="L3:M4"/>
    <mergeCell ref="L22:M23"/>
    <mergeCell ref="L41:M42"/>
    <mergeCell ref="L60:M61"/>
    <mergeCell ref="N5:X5"/>
    <mergeCell ref="N22:X22"/>
    <mergeCell ref="N24:X24"/>
    <mergeCell ref="N41:X41"/>
    <mergeCell ref="N43:X43"/>
    <mergeCell ref="L10:L13"/>
    <mergeCell ref="L14:L17"/>
    <mergeCell ref="L6:L9"/>
    <mergeCell ref="L25:L28"/>
    <mergeCell ref="AP18:AZ18"/>
    <mergeCell ref="AP20:AZ20"/>
    <mergeCell ref="AN21:AN24"/>
    <mergeCell ref="AN3:AO4"/>
    <mergeCell ref="AP3:AZ3"/>
    <mergeCell ref="AP5:AZ5"/>
    <mergeCell ref="AN6:AN9"/>
    <mergeCell ref="AN10:AN13"/>
    <mergeCell ref="AN25:AN28"/>
    <mergeCell ref="AN29:AN32"/>
    <mergeCell ref="G3:J3"/>
    <mergeCell ref="G13:J13"/>
    <mergeCell ref="G8:J8"/>
    <mergeCell ref="G18:J18"/>
    <mergeCell ref="AN14:AN17"/>
    <mergeCell ref="AN18:AO19"/>
    <mergeCell ref="N3:X3"/>
    <mergeCell ref="L18:L21"/>
    <mergeCell ref="Z3:AA4"/>
    <mergeCell ref="AB3:AL3"/>
    <mergeCell ref="AB5:AL5"/>
    <mergeCell ref="Z6:Z9"/>
    <mergeCell ref="Z10:Z13"/>
    <mergeCell ref="Z14:Z17"/>
  </mergeCells>
  <phoneticPr fontId="17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319"/>
  <sheetViews>
    <sheetView zoomScale="85" zoomScaleNormal="85" workbookViewId="0">
      <selection activeCell="B322" sqref="B322"/>
    </sheetView>
  </sheetViews>
  <sheetFormatPr defaultRowHeight="15" x14ac:dyDescent="0.25"/>
  <cols>
    <col min="2" max="2" width="45.7109375" bestFit="1" customWidth="1"/>
    <col min="3" max="13" width="12.85546875" bestFit="1" customWidth="1"/>
    <col min="14" max="14" width="14.7109375" bestFit="1" customWidth="1"/>
    <col min="15" max="36" width="12.85546875" bestFit="1" customWidth="1"/>
  </cols>
  <sheetData>
    <row r="1" spans="2:36" s="28" customFormat="1" x14ac:dyDescent="0.25"/>
    <row r="3" spans="2:36" x14ac:dyDescent="0.25">
      <c r="C3">
        <v>2017</v>
      </c>
      <c r="D3">
        <v>2018</v>
      </c>
      <c r="E3">
        <v>2019</v>
      </c>
      <c r="F3">
        <v>2020</v>
      </c>
      <c r="G3">
        <v>2021</v>
      </c>
      <c r="H3">
        <v>2022</v>
      </c>
      <c r="I3">
        <v>2023</v>
      </c>
      <c r="J3">
        <v>2024</v>
      </c>
      <c r="K3">
        <v>2025</v>
      </c>
      <c r="L3">
        <v>2026</v>
      </c>
      <c r="M3">
        <v>2027</v>
      </c>
      <c r="N3">
        <v>2028</v>
      </c>
      <c r="O3">
        <v>2029</v>
      </c>
      <c r="P3">
        <v>2030</v>
      </c>
      <c r="Q3">
        <v>2031</v>
      </c>
      <c r="R3">
        <v>2032</v>
      </c>
      <c r="S3">
        <v>2033</v>
      </c>
      <c r="T3">
        <v>2034</v>
      </c>
      <c r="U3">
        <v>2035</v>
      </c>
      <c r="V3">
        <v>2036</v>
      </c>
      <c r="W3">
        <v>2037</v>
      </c>
      <c r="X3">
        <v>2038</v>
      </c>
      <c r="Y3">
        <v>2039</v>
      </c>
      <c r="Z3">
        <v>2040</v>
      </c>
      <c r="AA3">
        <v>2041</v>
      </c>
      <c r="AB3">
        <v>2042</v>
      </c>
      <c r="AC3">
        <v>2043</v>
      </c>
      <c r="AD3">
        <v>2044</v>
      </c>
      <c r="AE3">
        <v>2045</v>
      </c>
      <c r="AF3">
        <v>2046</v>
      </c>
      <c r="AG3">
        <v>2047</v>
      </c>
      <c r="AH3">
        <v>2048</v>
      </c>
      <c r="AI3">
        <v>2049</v>
      </c>
      <c r="AJ3">
        <v>2050</v>
      </c>
    </row>
    <row r="4" spans="2:36" x14ac:dyDescent="0.25">
      <c r="B4" s="273" t="s">
        <v>300</v>
      </c>
      <c r="C4">
        <v>-448.78162891104017</v>
      </c>
      <c r="D4">
        <v>-521.89668509904016</v>
      </c>
      <c r="E4">
        <v>-591.45743309904014</v>
      </c>
      <c r="F4">
        <v>-446.03632463264779</v>
      </c>
      <c r="G4">
        <v>-310.31713295132101</v>
      </c>
      <c r="H4">
        <v>-191.68858505448841</v>
      </c>
      <c r="I4">
        <v>-89.836893199514805</v>
      </c>
      <c r="J4">
        <v>-1.4133825293401401</v>
      </c>
      <c r="K4">
        <v>73.432710325071724</v>
      </c>
      <c r="L4">
        <v>138.26018487977734</v>
      </c>
      <c r="M4">
        <v>195.45131227545852</v>
      </c>
      <c r="N4">
        <v>244.50954790426462</v>
      </c>
      <c r="O4">
        <v>287.47937036172021</v>
      </c>
      <c r="P4">
        <v>355.85923759926686</v>
      </c>
      <c r="Q4">
        <v>417.1699279444224</v>
      </c>
      <c r="R4">
        <v>471.46434484289568</v>
      </c>
      <c r="S4">
        <v>520.44557392624517</v>
      </c>
      <c r="T4">
        <v>564.36831608659281</v>
      </c>
      <c r="U4">
        <v>601.31508405636316</v>
      </c>
      <c r="V4">
        <v>632.66284970990546</v>
      </c>
      <c r="W4">
        <v>660.53299982075248</v>
      </c>
      <c r="X4">
        <v>686.0339926788248</v>
      </c>
      <c r="Y4">
        <v>708.9762052639378</v>
      </c>
      <c r="Z4">
        <v>729.32623359393335</v>
      </c>
      <c r="AA4">
        <v>747.73261803102901</v>
      </c>
      <c r="AB4">
        <v>764.29510037415241</v>
      </c>
      <c r="AC4">
        <v>779.17351552776927</v>
      </c>
      <c r="AD4">
        <v>792.71112224639978</v>
      </c>
      <c r="AE4">
        <v>804.93397733552354</v>
      </c>
      <c r="AF4">
        <v>815.83130773903849</v>
      </c>
      <c r="AG4">
        <v>825.71334506634389</v>
      </c>
      <c r="AH4">
        <v>834.6115603438692</v>
      </c>
      <c r="AI4">
        <v>842.63186356547726</v>
      </c>
      <c r="AJ4">
        <v>849.85024771581902</v>
      </c>
    </row>
    <row r="5" spans="2:36" x14ac:dyDescent="0.25">
      <c r="B5" t="s">
        <v>334</v>
      </c>
      <c r="C5">
        <v>-448.78162891104017</v>
      </c>
      <c r="D5">
        <v>-521.89668509904016</v>
      </c>
      <c r="E5">
        <v>-591.45743309904014</v>
      </c>
      <c r="F5">
        <v>-515.46024946014495</v>
      </c>
      <c r="G5">
        <v>-440.71777138415109</v>
      </c>
      <c r="H5">
        <v>-376.77778989426838</v>
      </c>
      <c r="I5">
        <v>-323.34677560872694</v>
      </c>
      <c r="J5">
        <v>-278.14844133841052</v>
      </c>
      <c r="K5">
        <v>-241.25920983219993</v>
      </c>
      <c r="L5">
        <v>-210.14307863061072</v>
      </c>
      <c r="M5">
        <v>-183.11577870738813</v>
      </c>
      <c r="N5">
        <v>-160.5882005706431</v>
      </c>
      <c r="O5">
        <v>-141.28342682501801</v>
      </c>
      <c r="P5">
        <v>-94.488978493770688</v>
      </c>
      <c r="Q5">
        <v>-52.510954193789203</v>
      </c>
      <c r="R5">
        <v>-15.298146172693293</v>
      </c>
      <c r="S5">
        <v>18.286585988385802</v>
      </c>
      <c r="T5">
        <v>48.425413793293281</v>
      </c>
      <c r="U5">
        <v>73.128518922485924</v>
      </c>
      <c r="V5">
        <v>93.43992157383434</v>
      </c>
      <c r="W5">
        <v>111.48173827685494</v>
      </c>
      <c r="X5">
        <v>127.98873673715835</v>
      </c>
      <c r="Y5">
        <v>142.8306871125636</v>
      </c>
      <c r="Z5">
        <v>155.98194926212051</v>
      </c>
      <c r="AA5">
        <v>167.8717247605278</v>
      </c>
      <c r="AB5">
        <v>178.5637575875013</v>
      </c>
      <c r="AC5">
        <v>188.16199924546129</v>
      </c>
      <c r="AD5">
        <v>196.8929308239955</v>
      </c>
      <c r="AE5">
        <v>204.7717068023579</v>
      </c>
      <c r="AF5">
        <v>211.78925430556114</v>
      </c>
      <c r="AG5">
        <v>218.15057013911309</v>
      </c>
      <c r="AH5">
        <v>223.87485000717416</v>
      </c>
      <c r="AI5">
        <v>229.03109177688728</v>
      </c>
      <c r="AJ5">
        <v>233.66862722044843</v>
      </c>
    </row>
    <row r="6" spans="2:36" x14ac:dyDescent="0.25">
      <c r="B6" t="s">
        <v>299</v>
      </c>
      <c r="C6">
        <v>-448.78162891104017</v>
      </c>
      <c r="D6">
        <v>-521.89668509904016</v>
      </c>
      <c r="E6">
        <v>-591.45743309904014</v>
      </c>
      <c r="F6">
        <v>-520.24819030769095</v>
      </c>
      <c r="G6">
        <v>-453.47220350202429</v>
      </c>
      <c r="H6">
        <v>-401.75387104359606</v>
      </c>
      <c r="I6">
        <v>-363.64907668174294</v>
      </c>
      <c r="J6">
        <v>-337.47720498638853</v>
      </c>
      <c r="K6">
        <v>-319.63949923362202</v>
      </c>
      <c r="L6">
        <v>-308.04875217445749</v>
      </c>
      <c r="M6">
        <v>-299.18700363242408</v>
      </c>
      <c r="N6">
        <v>-293.24852940296847</v>
      </c>
      <c r="O6">
        <v>-291.18102726059681</v>
      </c>
      <c r="P6">
        <v>-259.63378629747922</v>
      </c>
      <c r="Q6">
        <v>-231.5009337385722</v>
      </c>
      <c r="R6">
        <v>-206.51442296416741</v>
      </c>
      <c r="S6">
        <v>-183.45957302370317</v>
      </c>
      <c r="T6">
        <v>-163.37928586812131</v>
      </c>
      <c r="U6">
        <v>-147.89175767216653</v>
      </c>
      <c r="V6">
        <v>-136.13970695341158</v>
      </c>
      <c r="W6">
        <v>-126.02204336177962</v>
      </c>
      <c r="X6">
        <v>-116.8986527646676</v>
      </c>
      <c r="Y6">
        <v>-108.70240940101804</v>
      </c>
      <c r="Z6">
        <v>-101.67642668072</v>
      </c>
      <c r="AA6">
        <v>-95.429397421844058</v>
      </c>
      <c r="AB6">
        <v>-89.817314481605948</v>
      </c>
      <c r="AC6">
        <v>-84.949960568392711</v>
      </c>
      <c r="AD6">
        <v>-80.596799005888144</v>
      </c>
      <c r="AE6">
        <v>-76.671763325993069</v>
      </c>
      <c r="AF6">
        <v>-73.182650650498545</v>
      </c>
      <c r="AG6">
        <v>-70.020824596698148</v>
      </c>
      <c r="AH6">
        <v>-67.180093072705887</v>
      </c>
      <c r="AI6">
        <v>-64.625068567869064</v>
      </c>
      <c r="AJ6">
        <v>-62.333456470133655</v>
      </c>
    </row>
    <row r="7" spans="2:36" x14ac:dyDescent="0.25">
      <c r="B7" t="s">
        <v>303</v>
      </c>
      <c r="C7">
        <v>-448.78162891104017</v>
      </c>
      <c r="D7">
        <v>-521.89668509904016</v>
      </c>
      <c r="E7">
        <v>-591.45743309904014</v>
      </c>
      <c r="F7">
        <v>-541.69631596591842</v>
      </c>
      <c r="G7">
        <v>-490.01134751195201</v>
      </c>
      <c r="H7">
        <v>-446.7536893013023</v>
      </c>
      <c r="I7">
        <v>-411.64155823795409</v>
      </c>
      <c r="J7">
        <v>-382.80512264927302</v>
      </c>
      <c r="K7">
        <v>-360.29776079780441</v>
      </c>
      <c r="L7">
        <v>-341.9649310045038</v>
      </c>
      <c r="M7">
        <v>-326.38212567046168</v>
      </c>
      <c r="N7">
        <v>-313.92638115316242</v>
      </c>
      <c r="O7">
        <v>-303.60784713497026</v>
      </c>
      <c r="P7">
        <v>-265.00883351757824</v>
      </c>
      <c r="Q7">
        <v>-230.37203551304032</v>
      </c>
      <c r="R7">
        <v>-199.6486705422239</v>
      </c>
      <c r="S7">
        <v>-171.91547449134811</v>
      </c>
      <c r="T7">
        <v>-147.01760466061933</v>
      </c>
      <c r="U7">
        <v>-126.97149468871794</v>
      </c>
      <c r="V7">
        <v>-110.85872218240513</v>
      </c>
      <c r="W7">
        <v>-96.55779333807159</v>
      </c>
      <c r="X7">
        <v>-83.474463046215632</v>
      </c>
      <c r="Y7">
        <v>-71.716757428970311</v>
      </c>
      <c r="Z7">
        <v>-61.307685612296638</v>
      </c>
      <c r="AA7">
        <v>-51.900659520090912</v>
      </c>
      <c r="AB7">
        <v>-43.445826196793341</v>
      </c>
      <c r="AC7">
        <v>-35.860457259354625</v>
      </c>
      <c r="AD7">
        <v>-28.962208444110658</v>
      </c>
      <c r="AE7">
        <v>-22.740173983504821</v>
      </c>
      <c r="AF7">
        <v>-17.203122744856337</v>
      </c>
      <c r="AG7">
        <v>-12.185795842996223</v>
      </c>
      <c r="AH7">
        <v>-7.6736271571519286</v>
      </c>
      <c r="AI7">
        <v>-3.611546769182377</v>
      </c>
      <c r="AJ7">
        <v>3.9506019070350007E-2</v>
      </c>
    </row>
    <row r="8" spans="2:36" x14ac:dyDescent="0.25">
      <c r="B8" t="s">
        <v>304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32" s="28" customFormat="1" x14ac:dyDescent="0.25"/>
    <row r="34" spans="2:36" x14ac:dyDescent="0.25">
      <c r="C34">
        <v>2017</v>
      </c>
      <c r="D34">
        <v>2018</v>
      </c>
      <c r="E34">
        <v>2019</v>
      </c>
      <c r="F34">
        <v>2020</v>
      </c>
      <c r="G34">
        <v>2021</v>
      </c>
      <c r="H34">
        <v>2022</v>
      </c>
      <c r="I34">
        <v>2023</v>
      </c>
      <c r="J34">
        <v>2024</v>
      </c>
      <c r="K34">
        <v>2025</v>
      </c>
      <c r="L34">
        <v>2026</v>
      </c>
      <c r="M34">
        <v>2027</v>
      </c>
      <c r="N34">
        <v>2028</v>
      </c>
      <c r="O34">
        <v>2029</v>
      </c>
      <c r="P34">
        <v>2030</v>
      </c>
      <c r="Q34">
        <v>2031</v>
      </c>
      <c r="R34">
        <v>2032</v>
      </c>
      <c r="S34">
        <v>2033</v>
      </c>
      <c r="T34">
        <v>2034</v>
      </c>
      <c r="U34">
        <v>2035</v>
      </c>
      <c r="V34">
        <v>2036</v>
      </c>
      <c r="W34">
        <v>2037</v>
      </c>
      <c r="X34">
        <v>2038</v>
      </c>
      <c r="Y34">
        <v>2039</v>
      </c>
      <c r="Z34">
        <v>2040</v>
      </c>
      <c r="AA34">
        <v>2041</v>
      </c>
      <c r="AB34">
        <v>2042</v>
      </c>
      <c r="AC34">
        <v>2043</v>
      </c>
      <c r="AD34">
        <v>2044</v>
      </c>
      <c r="AE34">
        <v>2045</v>
      </c>
      <c r="AF34">
        <v>2046</v>
      </c>
      <c r="AG34">
        <v>2047</v>
      </c>
      <c r="AH34">
        <v>2048</v>
      </c>
      <c r="AI34">
        <v>2049</v>
      </c>
      <c r="AJ34">
        <v>2050</v>
      </c>
    </row>
    <row r="35" spans="2:36" x14ac:dyDescent="0.25">
      <c r="B35" t="s">
        <v>308</v>
      </c>
      <c r="C35">
        <v>-448.78</v>
      </c>
      <c r="D35">
        <v>-521.9</v>
      </c>
      <c r="E35">
        <v>-591.46</v>
      </c>
      <c r="F35">
        <v>-515.46</v>
      </c>
      <c r="G35">
        <v>-440.72</v>
      </c>
      <c r="H35">
        <v>-376.78</v>
      </c>
      <c r="I35">
        <v>-323.35000000000002</v>
      </c>
      <c r="J35">
        <v>-278.14999999999998</v>
      </c>
      <c r="K35">
        <v>-241.26</v>
      </c>
      <c r="L35">
        <v>-210.14</v>
      </c>
      <c r="M35">
        <v>-183.12</v>
      </c>
      <c r="N35">
        <v>-160.59</v>
      </c>
      <c r="O35" s="261">
        <v>-141.28</v>
      </c>
      <c r="P35" s="261">
        <v>-94.49</v>
      </c>
      <c r="Q35" s="261">
        <v>-52.51</v>
      </c>
      <c r="R35" s="261">
        <v>-15.3</v>
      </c>
      <c r="S35" s="261">
        <v>18.29</v>
      </c>
      <c r="T35" s="261">
        <v>48.43</v>
      </c>
      <c r="U35" s="261">
        <v>73.13</v>
      </c>
      <c r="V35" s="261">
        <v>93.44</v>
      </c>
      <c r="W35" s="261">
        <v>111.48</v>
      </c>
      <c r="X35" s="261">
        <v>127.99</v>
      </c>
      <c r="Y35" s="261">
        <v>142.83000000000001</v>
      </c>
      <c r="Z35" s="261">
        <v>155.97999999999999</v>
      </c>
      <c r="AA35" s="261">
        <v>167.87</v>
      </c>
      <c r="AB35" s="261">
        <v>178.56</v>
      </c>
      <c r="AC35" s="261">
        <v>188.16</v>
      </c>
      <c r="AD35" s="261">
        <v>196.89</v>
      </c>
      <c r="AE35" s="261">
        <v>204.77</v>
      </c>
      <c r="AF35" s="261">
        <v>211.79</v>
      </c>
      <c r="AG35" s="261">
        <v>218.15</v>
      </c>
      <c r="AH35" s="261">
        <v>223.87</v>
      </c>
      <c r="AI35" s="261">
        <v>229.03</v>
      </c>
      <c r="AJ35" s="261">
        <v>233.67</v>
      </c>
    </row>
    <row r="36" spans="2:36" x14ac:dyDescent="0.25">
      <c r="B36" t="s">
        <v>307</v>
      </c>
      <c r="C36" s="261"/>
      <c r="D36" s="261"/>
      <c r="E36" s="261"/>
      <c r="F36" s="261"/>
      <c r="G36" s="261"/>
      <c r="H36" s="261"/>
      <c r="I36" s="261"/>
      <c r="J36">
        <v>-278.14999999999998</v>
      </c>
      <c r="K36" s="261">
        <v>-751.45</v>
      </c>
      <c r="L36" s="261">
        <v>-838.84</v>
      </c>
      <c r="M36" s="261">
        <v>-921.47</v>
      </c>
      <c r="N36" s="261">
        <v>-1000.53</v>
      </c>
      <c r="O36" s="261">
        <v>-1074.8499999999999</v>
      </c>
      <c r="P36" s="261">
        <v>-1111.6199999999999</v>
      </c>
      <c r="Q36" s="261">
        <v>-1146.56</v>
      </c>
      <c r="R36" s="261">
        <v>-1180.42</v>
      </c>
      <c r="S36" s="261">
        <v>-1212.3399999999999</v>
      </c>
      <c r="T36" s="261">
        <v>-1242.6400000000001</v>
      </c>
      <c r="U36" s="261">
        <v>-1271.51</v>
      </c>
      <c r="V36" s="261">
        <v>-1265.54</v>
      </c>
      <c r="W36" s="261">
        <v>-1260.9000000000001</v>
      </c>
      <c r="X36" s="261">
        <v>-1256.74</v>
      </c>
      <c r="Y36" s="261">
        <v>-1253.33</v>
      </c>
      <c r="Z36" s="261">
        <v>-1250.8399999999999</v>
      </c>
      <c r="AA36" s="261">
        <v>-1248.79</v>
      </c>
      <c r="AB36" s="261">
        <v>-1247.2</v>
      </c>
      <c r="AC36" s="261">
        <v>-1246.03</v>
      </c>
      <c r="AD36" s="261">
        <v>-1245.08</v>
      </c>
      <c r="AE36" s="261">
        <v>-1244.3900000000001</v>
      </c>
      <c r="AF36" s="261">
        <v>-1244.06</v>
      </c>
      <c r="AG36" s="261">
        <v>-1243.9000000000001</v>
      </c>
      <c r="AH36" s="261">
        <v>-1243.92</v>
      </c>
      <c r="AI36" s="261">
        <v>-1244.07</v>
      </c>
      <c r="AJ36" s="261">
        <v>-1244.3699999999999</v>
      </c>
    </row>
    <row r="37" spans="2:36" x14ac:dyDescent="0.25">
      <c r="B37" t="s">
        <v>66</v>
      </c>
      <c r="C37" s="261"/>
      <c r="D37" s="261"/>
      <c r="E37" s="261"/>
      <c r="F37" s="261"/>
      <c r="G37" s="261"/>
      <c r="H37" s="261"/>
      <c r="I37" s="261"/>
      <c r="J37">
        <v>-278.14999999999998</v>
      </c>
      <c r="K37" s="261">
        <v>-326.74</v>
      </c>
      <c r="L37" s="261">
        <v>-371.33</v>
      </c>
      <c r="M37" s="261">
        <v>-412.23</v>
      </c>
      <c r="N37" s="261">
        <v>-449.75</v>
      </c>
      <c r="O37" s="261">
        <v>-484.18</v>
      </c>
      <c r="P37" s="261">
        <v>-484.18</v>
      </c>
      <c r="Q37" s="261">
        <v>-484.18</v>
      </c>
      <c r="R37" s="261">
        <v>-484.18</v>
      </c>
      <c r="S37" s="261">
        <v>-484.18</v>
      </c>
      <c r="T37" s="261">
        <v>-484.18</v>
      </c>
      <c r="U37" s="261">
        <v>-484.18</v>
      </c>
      <c r="V37" s="261">
        <v>-484.18</v>
      </c>
      <c r="W37" s="261">
        <v>-484.18</v>
      </c>
      <c r="X37" s="261">
        <v>-484.18</v>
      </c>
      <c r="Y37" s="261">
        <v>-484.18</v>
      </c>
      <c r="Z37" s="261">
        <v>-484.18</v>
      </c>
      <c r="AA37" s="261">
        <v>-484.18</v>
      </c>
      <c r="AB37" s="261">
        <v>-484.18</v>
      </c>
      <c r="AC37" s="261">
        <v>-484.18</v>
      </c>
      <c r="AD37" s="261">
        <v>-484.18</v>
      </c>
      <c r="AE37" s="261">
        <v>-484.18</v>
      </c>
      <c r="AF37" s="261">
        <v>-484.18</v>
      </c>
      <c r="AG37" s="261">
        <v>-484.18</v>
      </c>
      <c r="AH37" s="261">
        <v>-484.18</v>
      </c>
      <c r="AI37" s="261">
        <v>-484.18</v>
      </c>
      <c r="AJ37" s="261">
        <v>-484.18</v>
      </c>
    </row>
    <row r="38" spans="2:36" x14ac:dyDescent="0.25">
      <c r="B38" t="s">
        <v>305</v>
      </c>
      <c r="C38" s="261"/>
      <c r="D38" s="261"/>
      <c r="E38" s="261"/>
      <c r="F38" s="261"/>
      <c r="G38" s="261"/>
      <c r="H38" s="261"/>
      <c r="I38" s="261"/>
      <c r="J38">
        <v>-278.14844133841052</v>
      </c>
      <c r="K38" s="261">
        <v>-370.95734926466628</v>
      </c>
      <c r="L38" s="261">
        <v>-454.85858128168923</v>
      </c>
      <c r="M38" s="261">
        <v>-531.44341013857911</v>
      </c>
      <c r="N38" s="261">
        <v>-603.67144515250789</v>
      </c>
      <c r="O38" s="261">
        <v>-671.92140067219532</v>
      </c>
      <c r="P38" s="261">
        <v>-704.30566425062875</v>
      </c>
      <c r="Q38" s="261">
        <v>-735.71922190192936</v>
      </c>
      <c r="R38" s="261">
        <v>-765.99678309854596</v>
      </c>
      <c r="S38" s="261">
        <v>-793.77253920469479</v>
      </c>
      <c r="T38" s="261">
        <v>-819.62688332311745</v>
      </c>
      <c r="U38" s="261">
        <v>-844.47816729711508</v>
      </c>
      <c r="V38" s="261">
        <v>-867.83141569299426</v>
      </c>
      <c r="W38" s="261">
        <v>-889.75208073200076</v>
      </c>
      <c r="X38" s="261">
        <v>-909.772026342446</v>
      </c>
      <c r="Y38" s="261">
        <v>-928.50712861571924</v>
      </c>
      <c r="Z38" s="261">
        <v>-946.28437704097973</v>
      </c>
      <c r="AA38" s="261">
        <v>-962.85188604097948</v>
      </c>
      <c r="AB38" s="261">
        <v>-978.294861634369</v>
      </c>
      <c r="AC38" s="261">
        <v>-992.70116266047637</v>
      </c>
      <c r="AD38" s="261">
        <v>-1005.9472193885065</v>
      </c>
      <c r="AE38" s="261">
        <v>-1018.2252315868813</v>
      </c>
      <c r="AF38" s="261">
        <v>-1029.618440354016</v>
      </c>
      <c r="AG38" s="261">
        <v>-1039.9938486820276</v>
      </c>
      <c r="AH38" s="261">
        <v>-1049.5533834227915</v>
      </c>
      <c r="AI38" s="261">
        <v>-1058.3881346617695</v>
      </c>
      <c r="AJ38" s="261">
        <v>-1066.473953558391</v>
      </c>
    </row>
    <row r="39" spans="2:36" x14ac:dyDescent="0.25">
      <c r="B39" t="s">
        <v>306</v>
      </c>
      <c r="C39" s="261"/>
      <c r="D39" s="261"/>
      <c r="E39" s="261"/>
      <c r="F39" s="261"/>
      <c r="G39" s="261"/>
      <c r="H39" s="261"/>
      <c r="I39" s="261"/>
      <c r="J39">
        <v>-278.14844133841052</v>
      </c>
      <c r="K39" s="261">
        <v>-901.94858815584746</v>
      </c>
      <c r="L39" s="261">
        <v>-1122.4846688040216</v>
      </c>
      <c r="M39" s="261">
        <v>-1324.4225697995821</v>
      </c>
      <c r="N39" s="261">
        <v>-1511.6534232893555</v>
      </c>
      <c r="O39" s="261">
        <v>-1685.4105517226619</v>
      </c>
      <c r="P39" s="261">
        <v>-1814.5903867814798</v>
      </c>
      <c r="Q39" s="261">
        <v>-1934.807221020289</v>
      </c>
      <c r="R39" s="261">
        <v>-2046.5556781687485</v>
      </c>
      <c r="S39" s="261">
        <v>-2149.07537551512</v>
      </c>
      <c r="T39" s="261">
        <v>-2243.5021427897104</v>
      </c>
      <c r="U39" s="261">
        <v>-2331.263906723495</v>
      </c>
      <c r="V39" s="261">
        <v>-2379.3497180356094</v>
      </c>
      <c r="W39" s="261">
        <v>-2423.9608077684097</v>
      </c>
      <c r="X39" s="261">
        <v>-2464.7976567676565</v>
      </c>
      <c r="Y39" s="261">
        <v>-2502.6308355444171</v>
      </c>
      <c r="Z39" s="261">
        <v>-2537.9292550737946</v>
      </c>
      <c r="AA39" s="261">
        <v>-2570.5712329766538</v>
      </c>
      <c r="AB39" s="261">
        <v>-2600.7614277469788</v>
      </c>
      <c r="AC39" s="261">
        <v>-2628.697287651009</v>
      </c>
      <c r="AD39" s="261">
        <v>-2654.3557837165827</v>
      </c>
      <c r="AE39" s="261">
        <v>-2678.021354940227</v>
      </c>
      <c r="AF39" s="261">
        <v>-2699.8618655654072</v>
      </c>
      <c r="AG39" s="261">
        <v>-2719.8219544971303</v>
      </c>
      <c r="AH39" s="261">
        <v>-2738.1747741954273</v>
      </c>
      <c r="AI39" s="261">
        <v>-2755.0767593403993</v>
      </c>
      <c r="AJ39" s="261">
        <v>-2770.5637102608684</v>
      </c>
    </row>
    <row r="40" spans="2:36" x14ac:dyDescent="0.25">
      <c r="B40" t="s">
        <v>309</v>
      </c>
      <c r="C40" s="261">
        <v>0</v>
      </c>
      <c r="D40" s="261">
        <v>0</v>
      </c>
      <c r="E40" s="261">
        <v>0</v>
      </c>
      <c r="F40" s="261">
        <v>0</v>
      </c>
      <c r="G40" s="261">
        <v>0</v>
      </c>
      <c r="H40" s="261">
        <v>0</v>
      </c>
      <c r="I40" s="261">
        <v>0</v>
      </c>
      <c r="J40" s="261">
        <v>0</v>
      </c>
      <c r="K40" s="261">
        <v>0</v>
      </c>
      <c r="L40" s="261">
        <v>0</v>
      </c>
      <c r="M40" s="261">
        <v>0</v>
      </c>
      <c r="N40" s="261">
        <v>0</v>
      </c>
      <c r="O40" s="261">
        <v>0</v>
      </c>
      <c r="P40" s="261">
        <v>0</v>
      </c>
      <c r="Q40" s="261">
        <v>0</v>
      </c>
      <c r="R40" s="261">
        <v>0</v>
      </c>
      <c r="S40" s="261">
        <v>0</v>
      </c>
      <c r="T40" s="261">
        <v>0</v>
      </c>
      <c r="U40" s="261">
        <v>0</v>
      </c>
      <c r="V40" s="261">
        <v>0</v>
      </c>
      <c r="W40" s="261">
        <v>0</v>
      </c>
      <c r="X40" s="261">
        <v>0</v>
      </c>
      <c r="Y40" s="261">
        <v>0</v>
      </c>
      <c r="Z40" s="261">
        <v>0</v>
      </c>
      <c r="AA40" s="261">
        <v>0</v>
      </c>
      <c r="AB40" s="261">
        <v>0</v>
      </c>
      <c r="AC40" s="261">
        <v>0</v>
      </c>
      <c r="AD40" s="261">
        <v>0</v>
      </c>
      <c r="AE40" s="261">
        <v>0</v>
      </c>
      <c r="AF40" s="261">
        <v>0</v>
      </c>
      <c r="AG40" s="261">
        <v>0</v>
      </c>
      <c r="AH40" s="261">
        <v>0</v>
      </c>
      <c r="AI40" s="261">
        <v>0</v>
      </c>
      <c r="AJ40" s="261">
        <v>0</v>
      </c>
    </row>
    <row r="41" spans="2:36" x14ac:dyDescent="0.25"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</row>
    <row r="42" spans="2:36" x14ac:dyDescent="0.25"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</row>
    <row r="43" spans="2:36" x14ac:dyDescent="0.25"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  <c r="AD43" s="261"/>
      <c r="AE43" s="261"/>
      <c r="AF43" s="261"/>
      <c r="AG43" s="261"/>
      <c r="AH43" s="261"/>
      <c r="AI43" s="261"/>
      <c r="AJ43" s="261"/>
    </row>
    <row r="44" spans="2:36" x14ac:dyDescent="0.25"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261"/>
      <c r="U44" s="261"/>
      <c r="V44" s="261"/>
      <c r="W44" s="261"/>
      <c r="X44" s="261"/>
      <c r="Y44" s="261"/>
      <c r="Z44" s="261"/>
      <c r="AA44" s="261"/>
      <c r="AB44" s="261"/>
      <c r="AC44" s="261"/>
      <c r="AD44" s="261"/>
      <c r="AE44" s="261"/>
      <c r="AF44" s="261"/>
      <c r="AG44" s="261"/>
      <c r="AH44" s="261"/>
      <c r="AI44" s="261"/>
      <c r="AJ44" s="261"/>
    </row>
    <row r="45" spans="2:36" x14ac:dyDescent="0.25"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261"/>
      <c r="U45" s="261"/>
      <c r="V45" s="261"/>
      <c r="W45" s="261"/>
      <c r="X45" s="261"/>
      <c r="Y45" s="261"/>
      <c r="Z45" s="261"/>
      <c r="AA45" s="261"/>
      <c r="AB45" s="261"/>
      <c r="AC45" s="261"/>
      <c r="AD45" s="261"/>
      <c r="AE45" s="261"/>
      <c r="AF45" s="261"/>
      <c r="AG45" s="261"/>
      <c r="AH45" s="261"/>
      <c r="AI45" s="261"/>
      <c r="AJ45" s="261"/>
    </row>
    <row r="46" spans="2:36" x14ac:dyDescent="0.25"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261"/>
      <c r="U46" s="261"/>
      <c r="V46" s="261"/>
      <c r="W46" s="261"/>
      <c r="X46" s="261"/>
      <c r="Y46" s="261"/>
      <c r="Z46" s="261"/>
      <c r="AA46" s="261"/>
      <c r="AB46" s="261"/>
      <c r="AC46" s="261"/>
      <c r="AD46" s="261"/>
      <c r="AE46" s="261"/>
      <c r="AF46" s="261"/>
      <c r="AG46" s="261"/>
      <c r="AH46" s="261"/>
      <c r="AI46" s="261"/>
      <c r="AJ46" s="261"/>
    </row>
    <row r="47" spans="2:36" x14ac:dyDescent="0.25"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U47" s="261"/>
      <c r="V47" s="261"/>
      <c r="W47" s="261"/>
      <c r="X47" s="261"/>
      <c r="Y47" s="261"/>
      <c r="Z47" s="261"/>
      <c r="AA47" s="261"/>
      <c r="AB47" s="261"/>
      <c r="AC47" s="261"/>
      <c r="AD47" s="261"/>
      <c r="AE47" s="261"/>
      <c r="AF47" s="261"/>
      <c r="AG47" s="261"/>
      <c r="AH47" s="261"/>
      <c r="AI47" s="261"/>
      <c r="AJ47" s="261"/>
    </row>
    <row r="48" spans="2:36" x14ac:dyDescent="0.25"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261"/>
      <c r="X48" s="261"/>
      <c r="Y48" s="261"/>
      <c r="Z48" s="261"/>
      <c r="AA48" s="261"/>
      <c r="AB48" s="261"/>
      <c r="AC48" s="261"/>
      <c r="AD48" s="261"/>
      <c r="AE48" s="261"/>
      <c r="AF48" s="261"/>
      <c r="AG48" s="261"/>
      <c r="AH48" s="261"/>
      <c r="AI48" s="261"/>
      <c r="AJ48" s="261"/>
    </row>
    <row r="49" spans="3:36" x14ac:dyDescent="0.25"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61"/>
      <c r="W49" s="261"/>
      <c r="X49" s="261"/>
      <c r="Y49" s="261"/>
      <c r="Z49" s="261"/>
      <c r="AA49" s="261"/>
      <c r="AB49" s="261"/>
      <c r="AC49" s="261"/>
      <c r="AD49" s="261"/>
      <c r="AE49" s="261"/>
      <c r="AF49" s="261"/>
      <c r="AG49" s="261"/>
      <c r="AH49" s="261"/>
      <c r="AI49" s="261"/>
      <c r="AJ49" s="261"/>
    </row>
    <row r="50" spans="3:36" x14ac:dyDescent="0.25"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1"/>
      <c r="AC50" s="261"/>
      <c r="AD50" s="261"/>
      <c r="AE50" s="261"/>
      <c r="AF50" s="261"/>
      <c r="AG50" s="261"/>
      <c r="AH50" s="261"/>
      <c r="AI50" s="261"/>
      <c r="AJ50" s="261"/>
    </row>
    <row r="51" spans="3:36" x14ac:dyDescent="0.25"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261"/>
      <c r="Z51" s="261"/>
      <c r="AA51" s="261"/>
      <c r="AB51" s="261"/>
      <c r="AC51" s="261"/>
      <c r="AD51" s="261"/>
      <c r="AE51" s="261"/>
      <c r="AF51" s="261"/>
      <c r="AG51" s="261"/>
      <c r="AH51" s="261"/>
      <c r="AI51" s="261"/>
      <c r="AJ51" s="261"/>
    </row>
    <row r="52" spans="3:36" x14ac:dyDescent="0.25"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  <c r="T52" s="261"/>
      <c r="U52" s="261"/>
      <c r="V52" s="261"/>
      <c r="W52" s="261"/>
      <c r="X52" s="261"/>
      <c r="Y52" s="261"/>
      <c r="Z52" s="261"/>
      <c r="AA52" s="261"/>
      <c r="AB52" s="261"/>
      <c r="AC52" s="261"/>
      <c r="AD52" s="261"/>
      <c r="AE52" s="261"/>
      <c r="AF52" s="261"/>
      <c r="AG52" s="261"/>
      <c r="AH52" s="261"/>
      <c r="AI52" s="261"/>
      <c r="AJ52" s="261"/>
    </row>
    <row r="53" spans="3:36" x14ac:dyDescent="0.25">
      <c r="C53" s="261"/>
      <c r="D53" s="261"/>
      <c r="E53" s="261"/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61"/>
      <c r="W53" s="261"/>
      <c r="X53" s="261"/>
      <c r="Y53" s="261"/>
      <c r="Z53" s="261"/>
      <c r="AA53" s="261"/>
      <c r="AB53" s="261"/>
      <c r="AC53" s="261"/>
      <c r="AD53" s="261"/>
      <c r="AE53" s="261"/>
      <c r="AF53" s="261"/>
      <c r="AG53" s="261"/>
      <c r="AH53" s="261"/>
      <c r="AI53" s="261"/>
      <c r="AJ53" s="261"/>
    </row>
    <row r="54" spans="3:36" x14ac:dyDescent="0.25">
      <c r="C54" s="261"/>
      <c r="D54" s="261"/>
      <c r="E54" s="261"/>
      <c r="F54" s="261"/>
      <c r="G54" s="26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1"/>
      <c r="V54" s="261"/>
      <c r="W54" s="261"/>
      <c r="X54" s="261"/>
      <c r="Y54" s="261"/>
      <c r="Z54" s="261"/>
      <c r="AA54" s="261"/>
      <c r="AB54" s="261"/>
      <c r="AC54" s="261"/>
      <c r="AD54" s="261"/>
      <c r="AE54" s="261"/>
      <c r="AF54" s="261"/>
      <c r="AG54" s="261"/>
      <c r="AH54" s="261"/>
      <c r="AI54" s="261"/>
      <c r="AJ54" s="261"/>
    </row>
    <row r="55" spans="3:36" x14ac:dyDescent="0.25"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  <c r="O55" s="261"/>
      <c r="P55" s="261"/>
      <c r="Q55" s="261"/>
      <c r="R55" s="261"/>
      <c r="S55" s="261"/>
      <c r="T55" s="261"/>
      <c r="U55" s="261"/>
      <c r="V55" s="261"/>
      <c r="W55" s="261"/>
      <c r="X55" s="261"/>
      <c r="Y55" s="261"/>
      <c r="Z55" s="261"/>
      <c r="AA55" s="261"/>
      <c r="AB55" s="261"/>
      <c r="AC55" s="261"/>
      <c r="AD55" s="261"/>
      <c r="AE55" s="261"/>
      <c r="AF55" s="261"/>
      <c r="AG55" s="261"/>
      <c r="AH55" s="261"/>
      <c r="AI55" s="261"/>
      <c r="AJ55" s="261"/>
    </row>
    <row r="64" spans="3:36" ht="16.5" customHeight="1" x14ac:dyDescent="0.25"/>
    <row r="65" spans="2:36" s="28" customFormat="1" x14ac:dyDescent="0.25"/>
    <row r="67" spans="2:36" x14ac:dyDescent="0.25">
      <c r="B67" t="s">
        <v>301</v>
      </c>
      <c r="C67">
        <v>2017</v>
      </c>
      <c r="D67">
        <v>2018</v>
      </c>
      <c r="E67">
        <v>2019</v>
      </c>
      <c r="F67">
        <v>2020</v>
      </c>
      <c r="G67">
        <v>2021</v>
      </c>
      <c r="H67">
        <v>2022</v>
      </c>
      <c r="I67">
        <v>2023</v>
      </c>
      <c r="J67">
        <v>2024</v>
      </c>
      <c r="K67">
        <v>2025</v>
      </c>
      <c r="L67">
        <v>2026</v>
      </c>
      <c r="M67">
        <v>2027</v>
      </c>
      <c r="N67">
        <v>2028</v>
      </c>
      <c r="O67">
        <v>2029</v>
      </c>
      <c r="P67">
        <v>2030</v>
      </c>
      <c r="Q67">
        <v>2031</v>
      </c>
      <c r="R67">
        <v>2032</v>
      </c>
      <c r="S67">
        <v>2033</v>
      </c>
      <c r="T67">
        <v>2034</v>
      </c>
      <c r="U67">
        <v>2035</v>
      </c>
      <c r="V67">
        <v>2036</v>
      </c>
      <c r="W67">
        <v>2037</v>
      </c>
      <c r="X67">
        <v>2038</v>
      </c>
      <c r="Y67">
        <v>2039</v>
      </c>
      <c r="Z67">
        <v>2040</v>
      </c>
      <c r="AA67">
        <v>2041</v>
      </c>
      <c r="AB67">
        <v>2042</v>
      </c>
      <c r="AC67">
        <v>2043</v>
      </c>
      <c r="AD67">
        <v>2044</v>
      </c>
      <c r="AE67">
        <v>2045</v>
      </c>
      <c r="AF67">
        <v>2046</v>
      </c>
      <c r="AG67">
        <v>2047</v>
      </c>
      <c r="AH67">
        <v>2048</v>
      </c>
      <c r="AI67">
        <v>2049</v>
      </c>
      <c r="AJ67">
        <v>2050</v>
      </c>
    </row>
    <row r="68" spans="2:36" x14ac:dyDescent="0.25">
      <c r="B68" t="s">
        <v>295</v>
      </c>
      <c r="C68">
        <v>-448.78</v>
      </c>
      <c r="D68">
        <v>-521.9</v>
      </c>
      <c r="E68">
        <v>-591.46</v>
      </c>
      <c r="F68">
        <v>-515.46</v>
      </c>
      <c r="G68">
        <v>-440.72</v>
      </c>
      <c r="H68">
        <v>-376.78</v>
      </c>
      <c r="I68">
        <v>-323.35000000000002</v>
      </c>
      <c r="J68">
        <v>-278.14999999999998</v>
      </c>
      <c r="K68">
        <v>-241.26</v>
      </c>
      <c r="L68">
        <v>-210.14</v>
      </c>
      <c r="M68">
        <v>-183.12</v>
      </c>
      <c r="N68">
        <v>-160.59</v>
      </c>
      <c r="O68" s="261">
        <v>-141.28</v>
      </c>
      <c r="P68" s="261">
        <v>-94.49</v>
      </c>
      <c r="Q68" s="261">
        <v>-52.51</v>
      </c>
      <c r="R68" s="261">
        <v>-15.3</v>
      </c>
      <c r="S68" s="261">
        <v>18.29</v>
      </c>
      <c r="T68" s="261">
        <v>48.43</v>
      </c>
      <c r="U68" s="261">
        <v>73.13</v>
      </c>
      <c r="V68" s="261">
        <v>93.44</v>
      </c>
      <c r="W68" s="261">
        <v>111.48</v>
      </c>
      <c r="X68" s="261">
        <v>127.99</v>
      </c>
      <c r="Y68" s="261">
        <v>142.83000000000001</v>
      </c>
      <c r="Z68" s="261">
        <v>155.97999999999999</v>
      </c>
      <c r="AA68" s="261">
        <v>167.87</v>
      </c>
      <c r="AB68" s="261">
        <v>178.56</v>
      </c>
      <c r="AC68" s="261">
        <v>188.16</v>
      </c>
      <c r="AD68" s="261">
        <v>196.89</v>
      </c>
      <c r="AE68" s="261">
        <v>204.77</v>
      </c>
      <c r="AF68" s="261">
        <v>211.79</v>
      </c>
      <c r="AG68" s="261">
        <v>218.15</v>
      </c>
      <c r="AH68" s="261">
        <v>223.87</v>
      </c>
      <c r="AI68" s="261">
        <v>229.03</v>
      </c>
      <c r="AJ68" s="261">
        <v>233.67</v>
      </c>
    </row>
    <row r="69" spans="2:36" x14ac:dyDescent="0.25">
      <c r="B69" t="s">
        <v>296</v>
      </c>
      <c r="J69">
        <v>-278.14844133841052</v>
      </c>
      <c r="K69">
        <v>-234.67057810625872</v>
      </c>
      <c r="L69">
        <v>-194.3767681615746</v>
      </c>
      <c r="M69">
        <v>-157.12110762373385</v>
      </c>
      <c r="N69">
        <v>-124.38964526581769</v>
      </c>
      <c r="O69">
        <v>-95.84829885655212</v>
      </c>
      <c r="P69">
        <v>-41.33024101366285</v>
      </c>
      <c r="Q69">
        <v>7.4106117697941087</v>
      </c>
      <c r="R69">
        <v>51.053232114541231</v>
      </c>
      <c r="S69">
        <v>91.0850870736312</v>
      </c>
      <c r="T69">
        <v>127.54305479708836</v>
      </c>
      <c r="U69">
        <v>158.0071109642528</v>
      </c>
      <c r="V69">
        <v>183.58503578727391</v>
      </c>
      <c r="W69">
        <v>206.68274164600703</v>
      </c>
      <c r="X69">
        <v>227.94072938103793</v>
      </c>
      <c r="Y69">
        <v>247.16991290905256</v>
      </c>
      <c r="Z69">
        <v>264.37367835390654</v>
      </c>
      <c r="AA69">
        <v>279.96517607041369</v>
      </c>
      <c r="AB69">
        <v>294.08843685911887</v>
      </c>
      <c r="AC69">
        <v>306.86840075139401</v>
      </c>
      <c r="AD69">
        <v>318.57139303794742</v>
      </c>
      <c r="AE69">
        <v>329.21471294288506</v>
      </c>
      <c r="AF69">
        <v>338.88339641452779</v>
      </c>
      <c r="AG69">
        <v>347.81101627050691</v>
      </c>
      <c r="AH69">
        <v>355.97117025508425</v>
      </c>
      <c r="AI69">
        <v>363.40959989825274</v>
      </c>
      <c r="AJ69">
        <v>370.24830417708057</v>
      </c>
    </row>
    <row r="70" spans="2:36" x14ac:dyDescent="0.25">
      <c r="B70" t="s">
        <v>359</v>
      </c>
      <c r="J70">
        <v>-278.14844133841052</v>
      </c>
      <c r="K70">
        <v>-250.49573915516655</v>
      </c>
      <c r="L70">
        <v>-224.72042558562723</v>
      </c>
      <c r="M70">
        <v>-200.78448649287344</v>
      </c>
      <c r="N70">
        <v>-180.27295206622972</v>
      </c>
      <c r="O70">
        <v>-162.94254871317742</v>
      </c>
      <c r="P70">
        <v>-118.70975972919939</v>
      </c>
      <c r="Q70">
        <v>-79.404933421807797</v>
      </c>
      <c r="R70">
        <v>-44.419218100973843</v>
      </c>
      <c r="S70">
        <v>-12.329477842721644</v>
      </c>
      <c r="T70">
        <v>16.842146118499031</v>
      </c>
      <c r="U70">
        <v>40.621483237740087</v>
      </c>
      <c r="V70">
        <v>60.066638292024166</v>
      </c>
      <c r="W70">
        <v>77.537949867512282</v>
      </c>
      <c r="X70">
        <v>93.634107984887223</v>
      </c>
      <c r="Y70">
        <v>108.12766801046521</v>
      </c>
      <c r="Z70">
        <v>120.98682473748742</v>
      </c>
      <c r="AA70">
        <v>132.59244289635075</v>
      </c>
      <c r="AB70">
        <v>143.05893344868539</v>
      </c>
      <c r="AC70">
        <v>152.48406226172156</v>
      </c>
      <c r="AD70">
        <v>161.1092242003493</v>
      </c>
      <c r="AE70">
        <v>168.92884653838263</v>
      </c>
      <c r="AF70">
        <v>176.00698178350768</v>
      </c>
      <c r="AG70">
        <v>182.55795189038798</v>
      </c>
      <c r="AH70">
        <v>188.53769326111322</v>
      </c>
      <c r="AI70">
        <v>193.97574435946328</v>
      </c>
      <c r="AJ70">
        <v>198.97923896414574</v>
      </c>
    </row>
    <row r="71" spans="2:36" x14ac:dyDescent="0.25">
      <c r="B71" t="s">
        <v>358</v>
      </c>
      <c r="J71">
        <v>-278.14844133841052</v>
      </c>
      <c r="K71">
        <v>-370.95734926466628</v>
      </c>
      <c r="L71">
        <v>-454.85858128168923</v>
      </c>
      <c r="M71">
        <v>-531.44341013857911</v>
      </c>
      <c r="N71">
        <v>-603.67144515250789</v>
      </c>
      <c r="O71">
        <v>-671.92140067219532</v>
      </c>
      <c r="P71">
        <v>-704.30566425062875</v>
      </c>
      <c r="Q71">
        <v>-735.71922190192936</v>
      </c>
      <c r="R71">
        <v>-765.99678309854596</v>
      </c>
      <c r="S71">
        <v>-793.77253920469479</v>
      </c>
      <c r="T71">
        <v>-819.62688332311745</v>
      </c>
      <c r="U71">
        <v>-844.47816729711508</v>
      </c>
      <c r="V71">
        <v>-867.83141569299426</v>
      </c>
      <c r="W71">
        <v>-889.75208073200076</v>
      </c>
      <c r="X71">
        <v>-909.772026342446</v>
      </c>
      <c r="Y71">
        <v>-928.50712861571924</v>
      </c>
      <c r="Z71">
        <v>-946.28437704097973</v>
      </c>
      <c r="AA71">
        <v>-962.85188604097948</v>
      </c>
      <c r="AB71">
        <v>-978.294861634369</v>
      </c>
      <c r="AC71">
        <v>-992.70116266047637</v>
      </c>
      <c r="AD71">
        <v>-1005.9472193885065</v>
      </c>
      <c r="AE71">
        <v>-1018.2252315868813</v>
      </c>
      <c r="AF71">
        <v>-1029.618440354016</v>
      </c>
      <c r="AG71">
        <v>-1039.9938486820276</v>
      </c>
      <c r="AH71">
        <v>-1049.5533834227915</v>
      </c>
      <c r="AI71">
        <v>-1058.3881346617695</v>
      </c>
      <c r="AJ71">
        <v>-1066.473953558391</v>
      </c>
    </row>
    <row r="72" spans="2:36" x14ac:dyDescent="0.25">
      <c r="B72" t="s">
        <v>360</v>
      </c>
      <c r="J72">
        <v>-278.14844133841052</v>
      </c>
      <c r="K72">
        <v>-266.32090020407441</v>
      </c>
      <c r="L72">
        <v>-255.06408300967988</v>
      </c>
      <c r="M72">
        <v>-244.44786536201309</v>
      </c>
      <c r="N72">
        <v>-236.15625886664185</v>
      </c>
      <c r="O72">
        <v>-230.03679856980278</v>
      </c>
      <c r="P72">
        <v>-196.08927844473601</v>
      </c>
      <c r="Q72">
        <v>-166.22047861340977</v>
      </c>
      <c r="R72">
        <v>-139.89166831648899</v>
      </c>
      <c r="S72">
        <v>-115.74404275907456</v>
      </c>
      <c r="T72">
        <v>-93.858762560090369</v>
      </c>
      <c r="U72">
        <v>-76.7641444887727</v>
      </c>
      <c r="V72">
        <v>-63.451759203225677</v>
      </c>
      <c r="W72">
        <v>-51.60684191098256</v>
      </c>
      <c r="X72">
        <v>-40.67251341126358</v>
      </c>
      <c r="Y72">
        <v>-30.914576888122262</v>
      </c>
      <c r="Z72">
        <v>-22.400028878931849</v>
      </c>
      <c r="AA72">
        <v>-14.780290277712389</v>
      </c>
      <c r="AB72">
        <v>-7.9705699617482431</v>
      </c>
      <c r="AC72">
        <v>-1.9002762279510783</v>
      </c>
      <c r="AD72">
        <v>3.6470553627509759</v>
      </c>
      <c r="AE72">
        <v>8.6429801338800054</v>
      </c>
      <c r="AF72">
        <v>13.130567152487341</v>
      </c>
      <c r="AG72">
        <v>17.30488751026882</v>
      </c>
      <c r="AH72">
        <v>21.104216267141929</v>
      </c>
      <c r="AI72">
        <v>24.54188882067352</v>
      </c>
      <c r="AJ72">
        <v>27.710173751210611</v>
      </c>
    </row>
    <row r="73" spans="2:36" x14ac:dyDescent="0.25">
      <c r="B73" t="s">
        <v>309</v>
      </c>
      <c r="C73" s="261">
        <v>0</v>
      </c>
      <c r="D73" s="261">
        <v>0</v>
      </c>
      <c r="E73" s="261">
        <v>0</v>
      </c>
      <c r="F73" s="261">
        <v>0</v>
      </c>
      <c r="G73" s="261">
        <v>0</v>
      </c>
      <c r="H73" s="261">
        <v>0</v>
      </c>
      <c r="I73" s="261">
        <v>0</v>
      </c>
      <c r="J73" s="261">
        <v>0</v>
      </c>
      <c r="K73" s="261">
        <v>0</v>
      </c>
      <c r="L73" s="261">
        <v>0</v>
      </c>
      <c r="M73" s="261">
        <v>0</v>
      </c>
      <c r="N73" s="261">
        <v>0</v>
      </c>
      <c r="O73" s="261">
        <v>0</v>
      </c>
      <c r="P73" s="261">
        <v>0</v>
      </c>
      <c r="Q73" s="261">
        <v>0</v>
      </c>
      <c r="R73" s="261">
        <v>0</v>
      </c>
      <c r="S73" s="261">
        <v>0</v>
      </c>
      <c r="T73" s="261">
        <v>0</v>
      </c>
      <c r="U73" s="261">
        <v>0</v>
      </c>
      <c r="V73" s="261">
        <v>0</v>
      </c>
      <c r="W73" s="261">
        <v>0</v>
      </c>
      <c r="X73" s="261">
        <v>0</v>
      </c>
      <c r="Y73" s="261">
        <v>0</v>
      </c>
      <c r="Z73" s="261">
        <v>0</v>
      </c>
      <c r="AA73" s="261">
        <v>0</v>
      </c>
      <c r="AB73" s="261">
        <v>0</v>
      </c>
      <c r="AC73" s="261">
        <v>0</v>
      </c>
      <c r="AD73" s="261">
        <v>0</v>
      </c>
      <c r="AE73" s="261">
        <v>0</v>
      </c>
      <c r="AF73" s="261">
        <v>0</v>
      </c>
      <c r="AG73" s="261">
        <v>0</v>
      </c>
      <c r="AH73" s="261">
        <v>0</v>
      </c>
      <c r="AI73" s="261">
        <v>0</v>
      </c>
      <c r="AJ73" s="261">
        <v>0</v>
      </c>
    </row>
    <row r="98" spans="2:29" s="28" customFormat="1" x14ac:dyDescent="0.25">
      <c r="K98" s="275"/>
      <c r="L98" s="275"/>
      <c r="M98" s="275"/>
      <c r="N98" s="275"/>
      <c r="O98" s="275"/>
      <c r="P98" s="275"/>
      <c r="Q98" s="275"/>
      <c r="R98" s="275"/>
      <c r="S98" s="275"/>
      <c r="T98" s="275"/>
      <c r="U98" s="275"/>
      <c r="V98" s="275"/>
      <c r="W98" s="275"/>
      <c r="X98" s="275"/>
      <c r="Y98" s="275"/>
      <c r="Z98" s="275"/>
      <c r="AA98" s="275"/>
      <c r="AB98" s="275"/>
      <c r="AC98" s="275"/>
    </row>
    <row r="99" spans="2:29" x14ac:dyDescent="0.25">
      <c r="C99" s="244"/>
      <c r="D99" s="244"/>
      <c r="E99" s="244"/>
      <c r="F99" s="244"/>
    </row>
    <row r="100" spans="2:29" x14ac:dyDescent="0.25">
      <c r="B100" s="337" t="s">
        <v>302</v>
      </c>
      <c r="C100" s="337">
        <v>2025</v>
      </c>
      <c r="D100" s="337">
        <v>2030</v>
      </c>
      <c r="E100" s="337">
        <v>2035</v>
      </c>
      <c r="F100" s="337">
        <v>2040</v>
      </c>
    </row>
    <row r="101" spans="2:29" x14ac:dyDescent="0.25">
      <c r="B101" s="48" t="s">
        <v>310</v>
      </c>
      <c r="C101" s="336">
        <v>3.8</v>
      </c>
      <c r="D101" s="336">
        <v>3.87</v>
      </c>
      <c r="E101" s="336">
        <v>3.95</v>
      </c>
      <c r="F101" s="336">
        <v>4</v>
      </c>
    </row>
    <row r="102" spans="2:29" x14ac:dyDescent="0.25">
      <c r="B102" s="48" t="s">
        <v>297</v>
      </c>
      <c r="C102" s="336">
        <v>5.69</v>
      </c>
      <c r="D102" s="336">
        <v>5.29</v>
      </c>
      <c r="E102" s="336">
        <v>4.95</v>
      </c>
      <c r="F102" s="336">
        <v>4.7</v>
      </c>
    </row>
    <row r="103" spans="2:29" x14ac:dyDescent="0.25">
      <c r="B103" s="48" t="s">
        <v>315</v>
      </c>
      <c r="C103" s="48">
        <v>4.9800000000000004</v>
      </c>
      <c r="D103" s="48">
        <v>5.17</v>
      </c>
      <c r="E103" s="48">
        <v>5.17</v>
      </c>
      <c r="F103" s="48">
        <v>4.7</v>
      </c>
    </row>
    <row r="104" spans="2:29" x14ac:dyDescent="0.25">
      <c r="B104" s="48" t="s">
        <v>316</v>
      </c>
      <c r="C104" s="48">
        <v>4.99</v>
      </c>
      <c r="D104" s="48">
        <v>5.19</v>
      </c>
      <c r="E104" s="48">
        <v>5.47</v>
      </c>
      <c r="F104" s="48">
        <v>5.83</v>
      </c>
      <c r="R104" s="144"/>
      <c r="S104" s="144"/>
    </row>
    <row r="105" spans="2:29" x14ac:dyDescent="0.25">
      <c r="F105" s="144"/>
    </row>
    <row r="107" spans="2:29" x14ac:dyDescent="0.25">
      <c r="F107" s="144"/>
    </row>
    <row r="114" spans="21:21" x14ac:dyDescent="0.25">
      <c r="U114" s="18"/>
    </row>
    <row r="127" spans="21:21" s="28" customFormat="1" x14ac:dyDescent="0.25"/>
    <row r="130" spans="1:24" x14ac:dyDescent="0.25">
      <c r="A130" s="15"/>
      <c r="B130" s="314"/>
      <c r="C130" s="314"/>
      <c r="D130" s="287"/>
      <c r="E130" s="287"/>
      <c r="F130" s="287"/>
      <c r="G130" s="287"/>
      <c r="H130" s="287"/>
      <c r="I130" s="287"/>
      <c r="J130" s="287"/>
      <c r="K130" s="287"/>
      <c r="L130" s="287"/>
      <c r="M130" s="287"/>
      <c r="N130" s="287"/>
    </row>
    <row r="131" spans="1:24" x14ac:dyDescent="0.25">
      <c r="A131" s="22"/>
      <c r="B131" s="286" t="s">
        <v>344</v>
      </c>
      <c r="C131" s="127"/>
      <c r="D131" s="300"/>
      <c r="E131" s="300"/>
      <c r="F131" s="300"/>
      <c r="G131" s="288"/>
      <c r="H131" s="288"/>
      <c r="I131" s="288"/>
      <c r="J131" s="288"/>
      <c r="K131" s="288"/>
      <c r="L131" s="288"/>
      <c r="M131" s="288"/>
      <c r="N131" s="288"/>
    </row>
    <row r="132" spans="1:24" x14ac:dyDescent="0.25">
      <c r="A132" s="22"/>
      <c r="B132" s="286" t="s">
        <v>345</v>
      </c>
      <c r="C132" s="127"/>
      <c r="D132" s="300"/>
      <c r="E132" s="300"/>
      <c r="F132" s="300"/>
      <c r="G132" s="288"/>
      <c r="H132" s="288"/>
      <c r="I132" s="288"/>
      <c r="J132" s="288"/>
      <c r="K132" s="288"/>
      <c r="L132" s="288"/>
      <c r="M132" s="288"/>
      <c r="N132" s="288">
        <v>0</v>
      </c>
      <c r="O132">
        <v>6</v>
      </c>
      <c r="P132">
        <v>12</v>
      </c>
      <c r="Q132" s="288">
        <v>18</v>
      </c>
      <c r="R132" s="288">
        <v>24</v>
      </c>
      <c r="S132" s="330">
        <v>30</v>
      </c>
      <c r="T132" s="330">
        <v>36</v>
      </c>
      <c r="U132" s="288">
        <v>42</v>
      </c>
      <c r="V132" s="288">
        <v>48</v>
      </c>
      <c r="W132" s="330">
        <v>54</v>
      </c>
      <c r="X132" s="330">
        <v>60</v>
      </c>
    </row>
    <row r="133" spans="1:24" x14ac:dyDescent="0.25">
      <c r="A133" s="22"/>
      <c r="B133" s="286" t="s">
        <v>346</v>
      </c>
      <c r="C133" s="127"/>
      <c r="D133" s="300"/>
      <c r="E133" s="300"/>
      <c r="F133" s="300"/>
      <c r="G133" s="288"/>
      <c r="H133" s="288"/>
      <c r="I133" s="288"/>
      <c r="J133" s="288"/>
      <c r="K133" s="288"/>
      <c r="L133" s="288"/>
      <c r="M133" s="288"/>
      <c r="N133" s="288"/>
    </row>
    <row r="134" spans="1:24" x14ac:dyDescent="0.25">
      <c r="A134" s="22"/>
      <c r="B134" s="286" t="s">
        <v>347</v>
      </c>
      <c r="C134" s="127"/>
      <c r="D134" s="300"/>
      <c r="E134" s="300"/>
      <c r="F134" s="300"/>
      <c r="G134" s="288"/>
      <c r="H134" s="288"/>
      <c r="I134" s="288"/>
      <c r="J134" s="288"/>
      <c r="K134" s="288"/>
      <c r="L134" s="288"/>
      <c r="M134" s="288"/>
      <c r="N134" s="288"/>
    </row>
    <row r="168" spans="1:36" s="28" customFormat="1" x14ac:dyDescent="0.25"/>
    <row r="171" spans="1:36" x14ac:dyDescent="0.25">
      <c r="C171">
        <v>2017</v>
      </c>
      <c r="D171">
        <v>2018</v>
      </c>
      <c r="E171">
        <v>2019</v>
      </c>
      <c r="F171">
        <v>2020</v>
      </c>
      <c r="G171">
        <v>2021</v>
      </c>
      <c r="H171">
        <v>2022</v>
      </c>
      <c r="I171">
        <v>2023</v>
      </c>
      <c r="J171">
        <v>2024</v>
      </c>
      <c r="K171">
        <v>2025</v>
      </c>
      <c r="L171">
        <v>2026</v>
      </c>
      <c r="M171">
        <v>2027</v>
      </c>
      <c r="N171">
        <v>2028</v>
      </c>
      <c r="O171">
        <v>2029</v>
      </c>
      <c r="P171">
        <v>2030</v>
      </c>
      <c r="Q171">
        <v>2031</v>
      </c>
      <c r="R171">
        <v>2032</v>
      </c>
      <c r="S171">
        <v>2033</v>
      </c>
      <c r="T171">
        <v>2034</v>
      </c>
      <c r="U171">
        <v>2035</v>
      </c>
      <c r="V171">
        <v>2036</v>
      </c>
      <c r="W171">
        <v>2037</v>
      </c>
      <c r="X171">
        <v>2038</v>
      </c>
      <c r="Y171">
        <v>2039</v>
      </c>
      <c r="Z171">
        <v>2040</v>
      </c>
      <c r="AA171">
        <v>2041</v>
      </c>
      <c r="AB171">
        <v>2042</v>
      </c>
      <c r="AC171">
        <v>2043</v>
      </c>
      <c r="AD171">
        <v>2044</v>
      </c>
      <c r="AE171">
        <v>2045</v>
      </c>
      <c r="AF171">
        <v>2046</v>
      </c>
      <c r="AG171">
        <v>2047</v>
      </c>
      <c r="AH171">
        <v>2048</v>
      </c>
      <c r="AI171">
        <v>2049</v>
      </c>
      <c r="AJ171">
        <v>2050</v>
      </c>
    </row>
    <row r="172" spans="1:36" x14ac:dyDescent="0.25">
      <c r="B172" t="s">
        <v>337</v>
      </c>
      <c r="C172">
        <v>-448.78162891104017</v>
      </c>
      <c r="D172">
        <v>-521.89668509904016</v>
      </c>
      <c r="E172">
        <v>-591.45743309904014</v>
      </c>
      <c r="F172">
        <v>-514.89711285606279</v>
      </c>
      <c r="G172">
        <v>-458.40074076215456</v>
      </c>
      <c r="H172">
        <v>-403.80481951786373</v>
      </c>
      <c r="I172">
        <v>-360.55037600078958</v>
      </c>
      <c r="J172">
        <v>-325.01314491750622</v>
      </c>
      <c r="K172">
        <v>-296.66477454298428</v>
      </c>
      <c r="L172">
        <v>-271.99671072310082</v>
      </c>
      <c r="M172">
        <v>-251.42763716617139</v>
      </c>
      <c r="N172">
        <v>-235.75659115594874</v>
      </c>
      <c r="O172">
        <v>-223.78824203406791</v>
      </c>
      <c r="P172">
        <v>-185.56024272668247</v>
      </c>
      <c r="Q172">
        <v>-151.821648779903</v>
      </c>
      <c r="R172">
        <v>-122.65170466437944</v>
      </c>
      <c r="S172">
        <v>-96.775078027654288</v>
      </c>
      <c r="T172">
        <v>-74.38960303813171</v>
      </c>
      <c r="U172">
        <v>-57.289493340567347</v>
      </c>
      <c r="V172">
        <v>-45.140944644467105</v>
      </c>
      <c r="W172">
        <v>-35.232420380614364</v>
      </c>
      <c r="X172">
        <v>-27.08546582945133</v>
      </c>
      <c r="Y172">
        <v>-20.355616524274538</v>
      </c>
      <c r="Z172">
        <v>-14.927590969192316</v>
      </c>
      <c r="AA172">
        <v>-10.77525276043454</v>
      </c>
      <c r="AB172">
        <v>-7.8066344588804455</v>
      </c>
      <c r="AC172">
        <v>-5.692810212027652</v>
      </c>
      <c r="AD172">
        <v>-4.4905569423437228</v>
      </c>
      <c r="AE172">
        <v>-4.046136117041641</v>
      </c>
      <c r="AF172">
        <v>-4.3700316940500983</v>
      </c>
      <c r="AG172">
        <v>-5.3657104361692944</v>
      </c>
      <c r="AH172">
        <v>-6.9843977782521023</v>
      </c>
      <c r="AI172">
        <v>-9.1949921279648876</v>
      </c>
      <c r="AJ172">
        <v>-11.894032330504917</v>
      </c>
    </row>
    <row r="173" spans="1:36" x14ac:dyDescent="0.25">
      <c r="B173" t="s">
        <v>336</v>
      </c>
      <c r="C173">
        <v>-448.78162891104017</v>
      </c>
      <c r="D173">
        <v>-521.89668509904016</v>
      </c>
      <c r="E173">
        <v>-591.45743309904014</v>
      </c>
      <c r="F173">
        <v>-515.77722437607883</v>
      </c>
      <c r="G173">
        <v>-482.22741002665293</v>
      </c>
      <c r="H173">
        <v>-456.20644941075</v>
      </c>
      <c r="I173">
        <v>-439.30852833936535</v>
      </c>
      <c r="J173">
        <v>-428.28575158896962</v>
      </c>
      <c r="K173">
        <v>-423.92331450168888</v>
      </c>
      <c r="L173">
        <v>-421.43646432894468</v>
      </c>
      <c r="M173">
        <v>-419.54602994891331</v>
      </c>
      <c r="N173">
        <v>-420.58012341238305</v>
      </c>
      <c r="O173">
        <v>-423.70067107521584</v>
      </c>
      <c r="P173">
        <v>-397.1766179013668</v>
      </c>
      <c r="Q173">
        <v>-375.39103937140811</v>
      </c>
      <c r="R173">
        <v>-358.41995862976984</v>
      </c>
      <c r="S173">
        <v>-344.09143275575832</v>
      </c>
      <c r="T173">
        <v>-332.63121405600623</v>
      </c>
      <c r="U173">
        <v>-324.03961337229981</v>
      </c>
      <c r="V173">
        <v>-317.41707997791457</v>
      </c>
      <c r="W173">
        <v>-312.9398692104869</v>
      </c>
      <c r="X173">
        <v>-309.84677440405147</v>
      </c>
      <c r="Y173">
        <v>-308.43731825716611</v>
      </c>
      <c r="Z173">
        <v>-308.73159222205857</v>
      </c>
      <c r="AA173">
        <v>-310.11337755465007</v>
      </c>
      <c r="AB173">
        <v>-312.54150922485996</v>
      </c>
      <c r="AC173">
        <v>-315.86026092431558</v>
      </c>
      <c r="AD173">
        <v>-319.8545584634349</v>
      </c>
      <c r="AE173">
        <v>-324.45027768639147</v>
      </c>
      <c r="AF173">
        <v>-329.69372021370691</v>
      </c>
      <c r="AG173">
        <v>-335.28285662681327</v>
      </c>
      <c r="AH173">
        <v>-341.27610497483278</v>
      </c>
      <c r="AI173">
        <v>-347.63388411531497</v>
      </c>
      <c r="AJ173">
        <v>-354.28195578721881</v>
      </c>
    </row>
    <row r="174" spans="1:36" x14ac:dyDescent="0.25">
      <c r="B174" t="s">
        <v>335</v>
      </c>
      <c r="C174">
        <v>-448.78162891104017</v>
      </c>
      <c r="D174">
        <v>-521.89668509904016</v>
      </c>
      <c r="E174">
        <v>-591.45743309904014</v>
      </c>
      <c r="F174">
        <v>-515.46024946014495</v>
      </c>
      <c r="G174">
        <v>-544.3606685457155</v>
      </c>
      <c r="H174">
        <v>-577.94053329743997</v>
      </c>
      <c r="I174">
        <v>-615.34689083967896</v>
      </c>
      <c r="J174">
        <v>-655.97788192523842</v>
      </c>
      <c r="K174">
        <v>-699.39143116386686</v>
      </c>
      <c r="L174">
        <v>-743.65263202155757</v>
      </c>
      <c r="M174">
        <v>-788.70328886629613</v>
      </c>
      <c r="N174">
        <v>-834.33365783798433</v>
      </c>
      <c r="O174">
        <v>-878.90574962968583</v>
      </c>
      <c r="P174">
        <v>-889.59182412831979</v>
      </c>
      <c r="Q174">
        <v>-901.612917316422</v>
      </c>
      <c r="R174">
        <v>-915.96163359276227</v>
      </c>
      <c r="S174">
        <v>-930.6604002911813</v>
      </c>
      <c r="T174">
        <v>-946.37395124562352</v>
      </c>
      <c r="U174">
        <v>-962.54505943235768</v>
      </c>
      <c r="V174">
        <v>-979.01408429842229</v>
      </c>
      <c r="W174">
        <v>-995.4865339427397</v>
      </c>
      <c r="X174">
        <v>-1011.5892956707768</v>
      </c>
      <c r="Y174">
        <v>-1027.2452795197667</v>
      </c>
      <c r="Z174">
        <v>-1042.6716533701115</v>
      </c>
      <c r="AA174">
        <v>-1057.7784697653717</v>
      </c>
      <c r="AB174">
        <v>-1071.9286720184302</v>
      </c>
      <c r="AC174">
        <v>-1085.7986751000612</v>
      </c>
      <c r="AD174">
        <v>-1098.9336334201225</v>
      </c>
      <c r="AE174">
        <v>-1111.6692769773915</v>
      </c>
      <c r="AF174">
        <v>-1123.8974326418174</v>
      </c>
      <c r="AG174">
        <v>-1135.6473438240489</v>
      </c>
      <c r="AH174">
        <v>-1146.796807135685</v>
      </c>
      <c r="AI174">
        <v>-1157.5143172714706</v>
      </c>
      <c r="AJ174">
        <v>-1167.6569780892717</v>
      </c>
    </row>
    <row r="175" spans="1:36" x14ac:dyDescent="0.25">
      <c r="A175">
        <v>2025</v>
      </c>
      <c r="B175" t="s">
        <v>338</v>
      </c>
      <c r="J175">
        <v>-325.01314491750622</v>
      </c>
      <c r="K175">
        <v>-302.54808318133655</v>
      </c>
      <c r="L175">
        <v>-281.81917226994415</v>
      </c>
      <c r="M175">
        <v>-264.85508973307725</v>
      </c>
      <c r="N175">
        <v>-252.44528946554334</v>
      </c>
      <c r="O175">
        <v>-243.86002952459503</v>
      </c>
      <c r="P175">
        <v>-208.61910120328344</v>
      </c>
      <c r="Q175">
        <v>-177.48423769503134</v>
      </c>
      <c r="R175">
        <v>-150.01876055984522</v>
      </c>
      <c r="S175">
        <v>-125.23812483891076</v>
      </c>
      <c r="T175">
        <v>-103.32157500873191</v>
      </c>
      <c r="U175">
        <v>-86.487246956431491</v>
      </c>
      <c r="V175">
        <v>-74.465662809290848</v>
      </c>
      <c r="W175">
        <v>-64.24676473552563</v>
      </c>
      <c r="X175">
        <v>-55.372054635648702</v>
      </c>
      <c r="Y175">
        <v>-47.551184116320862</v>
      </c>
      <c r="Z175">
        <v>-40.731411221858266</v>
      </c>
      <c r="AA175">
        <v>-35.005967909711366</v>
      </c>
      <c r="AB175">
        <v>-30.238417043642407</v>
      </c>
      <c r="AC175">
        <v>-26.154332867916438</v>
      </c>
      <c r="AD175">
        <v>-22.762878568811189</v>
      </c>
      <c r="AE175">
        <v>-20.002560243283469</v>
      </c>
      <c r="AF175">
        <v>-17.731561668635575</v>
      </c>
      <c r="AG175">
        <v>-15.801388822636884</v>
      </c>
      <c r="AH175">
        <v>-14.201940096903542</v>
      </c>
      <c r="AI175">
        <v>-12.933716221390252</v>
      </c>
      <c r="AJ175">
        <v>-11.890000000000065</v>
      </c>
    </row>
    <row r="176" spans="1:36" x14ac:dyDescent="0.25">
      <c r="B176" t="s">
        <v>339</v>
      </c>
      <c r="J176">
        <v>-428.28575158896962</v>
      </c>
      <c r="K176">
        <v>-431.59112838559417</v>
      </c>
      <c r="L176">
        <v>-434.17614622579606</v>
      </c>
      <c r="M176">
        <v>-436.92680885762593</v>
      </c>
      <c r="N176">
        <v>-442.15676328554798</v>
      </c>
      <c r="O176">
        <v>-449.65313195806857</v>
      </c>
      <c r="P176">
        <v>-426.98655369264435</v>
      </c>
      <c r="Q176">
        <v>-408.55595688676567</v>
      </c>
      <c r="R176">
        <v>-393.74187664030791</v>
      </c>
      <c r="S176">
        <v>-380.76272101805722</v>
      </c>
      <c r="T176">
        <v>-369.81828831476412</v>
      </c>
      <c r="U176">
        <v>-361.47858710796515</v>
      </c>
      <c r="V176">
        <v>-354.92985694674604</v>
      </c>
      <c r="W176">
        <v>-349.94585348478495</v>
      </c>
      <c r="X176">
        <v>-345.79156773384733</v>
      </c>
      <c r="Y176">
        <v>-342.83874975546325</v>
      </c>
      <c r="Z176">
        <v>-341.19110560192053</v>
      </c>
      <c r="AA176">
        <v>-340.39256275182697</v>
      </c>
      <c r="AB176">
        <v>-340.34163576858998</v>
      </c>
      <c r="AC176">
        <v>-340.95551960348962</v>
      </c>
      <c r="AD176">
        <v>-341.95466234423247</v>
      </c>
      <c r="AE176">
        <v>-343.38872937483922</v>
      </c>
      <c r="AF176">
        <v>-345.21074397420534</v>
      </c>
      <c r="AG176">
        <v>-347.16877081772668</v>
      </c>
      <c r="AH176">
        <v>-349.35612724779594</v>
      </c>
      <c r="AI176">
        <v>-351.76475116034334</v>
      </c>
      <c r="AJ176">
        <v>-354.28</v>
      </c>
    </row>
    <row r="177" spans="1:43" x14ac:dyDescent="0.25">
      <c r="B177" t="s">
        <v>340</v>
      </c>
      <c r="C177" s="330"/>
      <c r="D177" s="330"/>
      <c r="E177" s="330"/>
      <c r="F177" s="330"/>
      <c r="G177" s="330"/>
      <c r="H177" s="330"/>
      <c r="I177" s="330"/>
      <c r="J177" s="330">
        <v>-325.01314491750622</v>
      </c>
      <c r="K177" s="330">
        <v>-373.60764891267195</v>
      </c>
      <c r="L177" s="330">
        <v>-418.18976266970469</v>
      </c>
      <c r="M177" s="330">
        <v>-459.09078446514758</v>
      </c>
      <c r="N177" s="330">
        <v>-496.61465767197592</v>
      </c>
      <c r="O177" s="330">
        <v>-531.04022942135975</v>
      </c>
      <c r="P177" s="330">
        <v>-531.04022942135975</v>
      </c>
      <c r="Q177" s="330">
        <v>-531.04022942135975</v>
      </c>
      <c r="R177" s="330">
        <v>-531.04022942135975</v>
      </c>
      <c r="S177" s="330">
        <v>-531.04022942135975</v>
      </c>
      <c r="T177" s="330">
        <v>-531.04022942135975</v>
      </c>
      <c r="U177" s="330">
        <v>-531.04022942135975</v>
      </c>
      <c r="V177" s="330">
        <v>-531.04022942135975</v>
      </c>
      <c r="W177" s="330">
        <v>-531.04022942135975</v>
      </c>
      <c r="X177" s="330">
        <v>-531.04022942135975</v>
      </c>
      <c r="Y177" s="330">
        <v>-531.04022942135975</v>
      </c>
      <c r="Z177" s="330">
        <v>-531.04022942135975</v>
      </c>
      <c r="AA177" s="330">
        <v>-531.04022942135975</v>
      </c>
      <c r="AB177" s="330">
        <v>-531.04022942135975</v>
      </c>
      <c r="AC177" s="330">
        <v>-531.04022942135975</v>
      </c>
      <c r="AD177" s="330">
        <v>-531.04022942135975</v>
      </c>
      <c r="AE177" s="330">
        <v>-531.04022942135975</v>
      </c>
      <c r="AF177" s="330">
        <v>-531.04022942135975</v>
      </c>
      <c r="AG177" s="330">
        <v>-531.04022942135975</v>
      </c>
      <c r="AH177" s="330">
        <v>-531.04022942135975</v>
      </c>
      <c r="AI177" s="330">
        <v>-531.04022942135975</v>
      </c>
      <c r="AJ177" s="330">
        <v>-531.04022942135975</v>
      </c>
    </row>
    <row r="178" spans="1:43" x14ac:dyDescent="0.25">
      <c r="B178" t="s">
        <v>341</v>
      </c>
      <c r="J178">
        <v>-428.28575158896962</v>
      </c>
      <c r="K178">
        <v>-476.88025558413534</v>
      </c>
      <c r="L178">
        <v>-521.46236934116814</v>
      </c>
      <c r="M178">
        <v>-562.36339113661109</v>
      </c>
      <c r="N178">
        <v>-599.88726434343948</v>
      </c>
      <c r="O178">
        <v>-634.31283609282332</v>
      </c>
      <c r="P178">
        <v>-634.31283609282332</v>
      </c>
      <c r="Q178">
        <v>-634.31283609282332</v>
      </c>
      <c r="R178">
        <v>-634.31283609282332</v>
      </c>
      <c r="S178">
        <v>-634.31283609282332</v>
      </c>
      <c r="T178">
        <v>-634.31283609282332</v>
      </c>
      <c r="U178">
        <v>-634.31283609282332</v>
      </c>
      <c r="V178">
        <v>-634.31283609282332</v>
      </c>
      <c r="W178">
        <v>-634.31283609282332</v>
      </c>
      <c r="X178">
        <v>-634.31283609282332</v>
      </c>
      <c r="Y178">
        <v>-634.31283609282332</v>
      </c>
      <c r="Z178">
        <v>-634.31283609282332</v>
      </c>
      <c r="AA178">
        <v>-634.31283609282332</v>
      </c>
      <c r="AB178">
        <v>-634.31283609282332</v>
      </c>
      <c r="AC178">
        <v>-634.31283609282332</v>
      </c>
      <c r="AD178">
        <v>-634.31283609282332</v>
      </c>
      <c r="AE178">
        <v>-634.31283609282332</v>
      </c>
      <c r="AF178">
        <v>-634.31283609282332</v>
      </c>
      <c r="AG178">
        <v>-634.31283609282332</v>
      </c>
      <c r="AH178">
        <v>-634.31283609282332</v>
      </c>
      <c r="AI178">
        <v>-634.31283609282332</v>
      </c>
      <c r="AJ178">
        <v>-634.31283609282332</v>
      </c>
    </row>
    <row r="179" spans="1:43" x14ac:dyDescent="0.25">
      <c r="B179" t="s">
        <v>342</v>
      </c>
      <c r="C179" s="330"/>
      <c r="D179" s="330"/>
      <c r="E179" s="330"/>
      <c r="F179" s="330"/>
      <c r="G179" s="330"/>
      <c r="H179" s="330"/>
      <c r="I179" s="330"/>
      <c r="J179" s="140">
        <v>-655.97788192523842</v>
      </c>
      <c r="K179" s="140">
        <v>-704.63903961653159</v>
      </c>
      <c r="L179" s="140">
        <v>-749.22117967232646</v>
      </c>
      <c r="M179" s="140">
        <v>-790.12222616013719</v>
      </c>
      <c r="N179" s="140">
        <v>-827.64612247892251</v>
      </c>
      <c r="O179" s="140">
        <v>-862.07171550131716</v>
      </c>
      <c r="P179" s="140">
        <v>-862.07173540367421</v>
      </c>
      <c r="Q179" s="140">
        <v>-862.07175400462597</v>
      </c>
      <c r="R179" s="140">
        <v>-862.07177143697163</v>
      </c>
      <c r="S179" s="140">
        <v>-862.07178772788336</v>
      </c>
      <c r="T179" s="140">
        <v>-862.07180298278286</v>
      </c>
      <c r="U179" s="140">
        <v>-862.07181722886855</v>
      </c>
      <c r="V179" s="140">
        <v>-862.07183055884275</v>
      </c>
      <c r="W179" s="140">
        <v>-862.07184299204584</v>
      </c>
      <c r="X179" s="140">
        <v>-862.0718546242357</v>
      </c>
      <c r="Y179" s="140">
        <v>-862.07186546756191</v>
      </c>
      <c r="Z179" s="140">
        <v>-862.07187557854775</v>
      </c>
      <c r="AA179" s="140">
        <v>-862.07188502377471</v>
      </c>
      <c r="AB179" s="140">
        <v>-862.07189368912054</v>
      </c>
      <c r="AC179" s="140">
        <v>-862.07190178559154</v>
      </c>
      <c r="AD179" s="140">
        <v>-862.0719093250699</v>
      </c>
      <c r="AE179" s="140">
        <v>-862.07191636542336</v>
      </c>
      <c r="AF179" s="140">
        <v>-862.07192291833019</v>
      </c>
      <c r="AG179" s="140">
        <v>-862.07192903403529</v>
      </c>
      <c r="AH179" s="140">
        <v>-862.0719347237798</v>
      </c>
      <c r="AI179" s="140">
        <v>-862.07194002859103</v>
      </c>
      <c r="AJ179" s="140">
        <v>-862.07194496423494</v>
      </c>
      <c r="AK179" s="140">
        <f t="shared" ref="AK179:AQ179" si="0">AK178+AJ179</f>
        <v>-862.07194496423494</v>
      </c>
      <c r="AL179" s="140">
        <f t="shared" si="0"/>
        <v>-862.07194496423494</v>
      </c>
      <c r="AM179" s="140">
        <f t="shared" si="0"/>
        <v>-862.07194496423494</v>
      </c>
      <c r="AN179" s="140">
        <f t="shared" si="0"/>
        <v>-862.07194496423494</v>
      </c>
      <c r="AO179" s="140">
        <f t="shared" si="0"/>
        <v>-862.07194496423494</v>
      </c>
      <c r="AP179" s="140">
        <f t="shared" si="0"/>
        <v>-862.07194496423494</v>
      </c>
      <c r="AQ179" s="140">
        <f t="shared" si="0"/>
        <v>-862.07194496423494</v>
      </c>
    </row>
    <row r="180" spans="1:43" x14ac:dyDescent="0.25">
      <c r="B180" t="s">
        <v>343</v>
      </c>
      <c r="J180">
        <v>-655.97788192523842</v>
      </c>
      <c r="K180">
        <v>-689.85469786056024</v>
      </c>
      <c r="L180">
        <v>-720.3437611763411</v>
      </c>
      <c r="M180">
        <v>-748.52657623885375</v>
      </c>
      <c r="N180">
        <v>-776.89952835228542</v>
      </c>
      <c r="O180">
        <v>-804.91546505600468</v>
      </c>
      <c r="P180">
        <v>-800.85107434150291</v>
      </c>
      <c r="Q180">
        <v>-799.25053560304639</v>
      </c>
      <c r="R180">
        <v>-799.62987801985639</v>
      </c>
      <c r="S180">
        <v>-800.33382021066836</v>
      </c>
      <c r="T180">
        <v>-801.67984510280019</v>
      </c>
      <c r="U180">
        <v>-804.34753894686014</v>
      </c>
      <c r="V180">
        <v>-807.62511529765015</v>
      </c>
      <c r="W180">
        <v>-811.38116768513964</v>
      </c>
      <c r="X180">
        <v>-814.9688415419929</v>
      </c>
      <c r="Y180">
        <v>-818.84177639409722</v>
      </c>
      <c r="Z180">
        <v>-823.17970734209962</v>
      </c>
      <c r="AA180">
        <v>-827.59710790886538</v>
      </c>
      <c r="AB180">
        <v>-831.89319501676096</v>
      </c>
      <c r="AC180">
        <v>-836.22410869261932</v>
      </c>
      <c r="AD180">
        <v>-840.36532847694878</v>
      </c>
      <c r="AE180">
        <v>-844.41747044833369</v>
      </c>
      <c r="AF180">
        <v>-848.38069784517756</v>
      </c>
      <c r="AG180">
        <v>-852.04666379407456</v>
      </c>
      <c r="AH180">
        <v>-855.54896124389177</v>
      </c>
      <c r="AI180">
        <v>-858.91671944147174</v>
      </c>
      <c r="AJ180">
        <v>-862.06999999999994</v>
      </c>
    </row>
    <row r="181" spans="1:43" x14ac:dyDescent="0.25">
      <c r="A181">
        <v>2030</v>
      </c>
      <c r="B181" t="s">
        <v>338</v>
      </c>
      <c r="O181">
        <v>-223.78824203406791</v>
      </c>
      <c r="P181">
        <v>-190.52901850496448</v>
      </c>
      <c r="Q181">
        <v>-161.21223278772908</v>
      </c>
      <c r="R181">
        <v>-135.41471692870505</v>
      </c>
      <c r="S181">
        <v>-112.16432091067161</v>
      </c>
      <c r="T181">
        <v>-91.651660716181738</v>
      </c>
      <c r="U181">
        <v>-76.105304806715267</v>
      </c>
      <c r="V181">
        <v>-65.265346478688329</v>
      </c>
      <c r="W181">
        <v>-56.130508789431097</v>
      </c>
      <c r="X181">
        <v>-48.25034950102939</v>
      </c>
      <c r="Y181">
        <v>-41.341910918834785</v>
      </c>
      <c r="Z181">
        <v>-35.359231544677911</v>
      </c>
      <c r="AA181">
        <v>-30.401763939233504</v>
      </c>
      <c r="AB181">
        <v>-26.338777941698936</v>
      </c>
      <c r="AC181">
        <v>-22.901083553619202</v>
      </c>
      <c r="AD181">
        <v>-20.102647408317836</v>
      </c>
      <c r="AE181">
        <v>-17.886382434903773</v>
      </c>
      <c r="AF181">
        <v>-16.114515375956479</v>
      </c>
      <c r="AG181">
        <v>-14.642261351701457</v>
      </c>
      <c r="AH181">
        <v>-13.462921636742127</v>
      </c>
      <c r="AI181">
        <v>-12.580118872030681</v>
      </c>
      <c r="AJ181">
        <v>-11.889999999999983</v>
      </c>
    </row>
    <row r="182" spans="1:43" x14ac:dyDescent="0.25">
      <c r="B182" t="s">
        <v>339</v>
      </c>
      <c r="O182">
        <v>-423.70067107521584</v>
      </c>
      <c r="P182">
        <v>-403.59640152920275</v>
      </c>
      <c r="Q182">
        <v>-387.51654666773794</v>
      </c>
      <c r="R182">
        <v>-374.85911040698102</v>
      </c>
      <c r="S182">
        <v>-363.85852724867607</v>
      </c>
      <c r="T182">
        <v>-354.72929864074604</v>
      </c>
      <c r="U182">
        <v>-348.05492229207829</v>
      </c>
      <c r="V182">
        <v>-343.03401310162178</v>
      </c>
      <c r="W182">
        <v>-339.45168025503921</v>
      </c>
      <c r="X182">
        <v>-336.58333084848556</v>
      </c>
      <c r="Y182">
        <v>-334.81027098421521</v>
      </c>
      <c r="Z182">
        <v>-334.24497372435479</v>
      </c>
      <c r="AA182">
        <v>-334.43940967580465</v>
      </c>
      <c r="AB182">
        <v>-335.29947241875425</v>
      </c>
      <c r="AC182">
        <v>-336.7491266446508</v>
      </c>
      <c r="AD182">
        <v>-338.5150312119963</v>
      </c>
      <c r="AE182">
        <v>-340.65254945966973</v>
      </c>
      <c r="AF182">
        <v>-343.1199321480878</v>
      </c>
      <c r="AG182">
        <v>-345.67003980725315</v>
      </c>
      <c r="AH182">
        <v>-348.40058964617009</v>
      </c>
      <c r="AI182">
        <v>-351.30755613564202</v>
      </c>
      <c r="AJ182">
        <v>-354.28000000000003</v>
      </c>
    </row>
    <row r="183" spans="1:43" x14ac:dyDescent="0.25">
      <c r="B183" t="s">
        <v>340</v>
      </c>
      <c r="O183">
        <v>-223.78824203406791</v>
      </c>
      <c r="P183">
        <v>-223.78824203406791</v>
      </c>
      <c r="Q183">
        <v>-223.78824203406791</v>
      </c>
      <c r="R183">
        <v>-223.78824203406791</v>
      </c>
      <c r="S183">
        <v>-223.78824203406791</v>
      </c>
      <c r="T183">
        <v>-223.78824203406791</v>
      </c>
      <c r="U183">
        <v>-223.78824203406791</v>
      </c>
      <c r="V183">
        <v>-223.78824203406791</v>
      </c>
      <c r="W183">
        <v>-223.78824203406791</v>
      </c>
      <c r="X183">
        <v>-223.78824203406791</v>
      </c>
      <c r="Y183">
        <v>-223.78824203406791</v>
      </c>
      <c r="Z183">
        <v>-223.78824203406791</v>
      </c>
      <c r="AA183">
        <v>-223.78824203406791</v>
      </c>
      <c r="AB183">
        <v>-223.78824203406791</v>
      </c>
      <c r="AC183">
        <v>-223.78824203406791</v>
      </c>
      <c r="AD183">
        <v>-223.78824203406791</v>
      </c>
      <c r="AE183">
        <v>-223.78824203406791</v>
      </c>
      <c r="AF183">
        <v>-223.78824203406791</v>
      </c>
      <c r="AG183">
        <v>-223.78824203406791</v>
      </c>
      <c r="AH183">
        <v>-223.78824203406791</v>
      </c>
      <c r="AI183">
        <v>-223.78824203406791</v>
      </c>
      <c r="AJ183">
        <v>-223.78824203406791</v>
      </c>
    </row>
    <row r="184" spans="1:43" x14ac:dyDescent="0.25">
      <c r="B184" t="s">
        <v>341</v>
      </c>
      <c r="O184">
        <v>-423.70067107521584</v>
      </c>
      <c r="P184">
        <v>-423.70067107521584</v>
      </c>
      <c r="Q184">
        <v>-423.70067107521584</v>
      </c>
      <c r="R184">
        <v>-423.70067107521584</v>
      </c>
      <c r="S184">
        <v>-423.70067107521584</v>
      </c>
      <c r="T184">
        <v>-423.70067107521584</v>
      </c>
      <c r="U184">
        <v>-423.70067107521584</v>
      </c>
      <c r="V184">
        <v>-423.70067107521584</v>
      </c>
      <c r="W184">
        <v>-423.70067107521584</v>
      </c>
      <c r="X184">
        <v>-423.70067107521584</v>
      </c>
      <c r="Y184">
        <v>-423.70067107521584</v>
      </c>
      <c r="Z184">
        <v>-423.70067107521584</v>
      </c>
      <c r="AA184">
        <v>-423.70067107521584</v>
      </c>
      <c r="AB184">
        <v>-423.70067107521584</v>
      </c>
      <c r="AC184">
        <v>-423.70067107521584</v>
      </c>
      <c r="AD184">
        <v>-423.70067107521584</v>
      </c>
      <c r="AE184">
        <v>-423.70067107521584</v>
      </c>
      <c r="AF184">
        <v>-423.70067107521584</v>
      </c>
      <c r="AG184">
        <v>-423.70067107521584</v>
      </c>
      <c r="AH184">
        <v>-423.70067107521584</v>
      </c>
      <c r="AI184">
        <v>-423.70067107521584</v>
      </c>
      <c r="AJ184">
        <v>-423.70067107521584</v>
      </c>
    </row>
    <row r="185" spans="1:43" x14ac:dyDescent="0.25">
      <c r="B185" t="s">
        <v>342</v>
      </c>
      <c r="O185">
        <v>-878.90574962968583</v>
      </c>
      <c r="P185">
        <v>-878.95518031089375</v>
      </c>
      <c r="Q185">
        <v>-878.95519891184551</v>
      </c>
      <c r="R185">
        <v>-878.95521634419117</v>
      </c>
      <c r="S185">
        <v>-878.9552326351029</v>
      </c>
      <c r="T185">
        <v>-878.9552478900024</v>
      </c>
      <c r="U185">
        <v>-878.95526213608809</v>
      </c>
      <c r="V185">
        <v>-878.95527546606229</v>
      </c>
      <c r="W185">
        <v>-878.95528789926539</v>
      </c>
      <c r="X185">
        <v>-878.95529953145524</v>
      </c>
      <c r="Y185">
        <v>-878.95531037478145</v>
      </c>
      <c r="Z185">
        <v>-878.95532048576729</v>
      </c>
      <c r="AA185">
        <v>-878.95532993099425</v>
      </c>
      <c r="AB185">
        <v>-878.95533859634008</v>
      </c>
      <c r="AC185">
        <v>-878.95534669281108</v>
      </c>
      <c r="AD185">
        <v>-878.95535423228944</v>
      </c>
      <c r="AE185">
        <v>-878.9553612726429</v>
      </c>
      <c r="AF185">
        <v>-878.95536782554973</v>
      </c>
      <c r="AG185">
        <v>-878.95537394125483</v>
      </c>
      <c r="AH185">
        <v>-878.95537963099935</v>
      </c>
      <c r="AI185">
        <v>-878.95538493581057</v>
      </c>
      <c r="AJ185">
        <v>-878.95538987145449</v>
      </c>
    </row>
    <row r="186" spans="1:43" x14ac:dyDescent="0.25">
      <c r="B186" t="s">
        <v>343</v>
      </c>
      <c r="O186">
        <v>-878.90574962968583</v>
      </c>
      <c r="P186">
        <v>-869.2037988508639</v>
      </c>
      <c r="Q186">
        <v>-862.43118665890267</v>
      </c>
      <c r="R186">
        <v>-858.06550755873593</v>
      </c>
      <c r="S186">
        <v>-854.41621900002792</v>
      </c>
      <c r="T186">
        <v>-851.76845421370103</v>
      </c>
      <c r="U186">
        <v>-850.77212082981725</v>
      </c>
      <c r="V186">
        <v>-850.68820431093411</v>
      </c>
      <c r="W186">
        <v>-851.36031828587943</v>
      </c>
      <c r="X186">
        <v>-852.11869084682053</v>
      </c>
      <c r="Y186">
        <v>-853.39593643662022</v>
      </c>
      <c r="Z186">
        <v>-855.35250108893024</v>
      </c>
      <c r="AA186">
        <v>-857.58516193487742</v>
      </c>
      <c r="AB186">
        <v>-859.87690067504946</v>
      </c>
      <c r="AC186">
        <v>-862.36896263739993</v>
      </c>
      <c r="AD186">
        <v>-864.82316250107999</v>
      </c>
      <c r="AE186">
        <v>-867.32757977462143</v>
      </c>
      <c r="AF186">
        <v>-869.87087625601259</v>
      </c>
      <c r="AG186">
        <v>-872.23415329165016</v>
      </c>
      <c r="AH186">
        <v>-874.54132329811011</v>
      </c>
      <c r="AI186">
        <v>-876.81263429994942</v>
      </c>
      <c r="AJ186">
        <v>-878.95999999999992</v>
      </c>
    </row>
    <row r="187" spans="1:43" x14ac:dyDescent="0.25">
      <c r="A187">
        <v>2035</v>
      </c>
      <c r="B187" t="s">
        <v>338</v>
      </c>
      <c r="T187">
        <v>-74.38960303813171</v>
      </c>
      <c r="U187">
        <v>-60.748406743377629</v>
      </c>
      <c r="V187">
        <v>-51.656301272885003</v>
      </c>
      <c r="W187">
        <v>-44.124998315310613</v>
      </c>
      <c r="X187">
        <v>-37.715971808269316</v>
      </c>
      <c r="Y187">
        <v>-32.157196328240218</v>
      </c>
      <c r="Z187">
        <v>-27.412739983592985</v>
      </c>
      <c r="AA187">
        <v>-23.591256808891373</v>
      </c>
      <c r="AB187">
        <v>-20.570458362496986</v>
      </c>
      <c r="AC187">
        <v>-18.088899342435759</v>
      </c>
      <c r="AD187">
        <v>-16.167651608160554</v>
      </c>
      <c r="AE187">
        <v>-14.756146644862227</v>
      </c>
      <c r="AF187">
        <v>-13.722591521800933</v>
      </c>
      <c r="AG187">
        <v>-12.92768789744132</v>
      </c>
      <c r="AH187">
        <v>-12.369770567707139</v>
      </c>
      <c r="AI187">
        <v>-12.057080083018768</v>
      </c>
      <c r="AJ187">
        <v>-11.890000000000061</v>
      </c>
    </row>
    <row r="188" spans="1:43" x14ac:dyDescent="0.25">
      <c r="B188" t="s">
        <v>339</v>
      </c>
      <c r="T188">
        <v>-332.63121405600623</v>
      </c>
      <c r="U188">
        <v>-326.00629140925184</v>
      </c>
      <c r="V188">
        <v>-321.03075258752318</v>
      </c>
      <c r="W188">
        <v>-317.49004393243405</v>
      </c>
      <c r="X188">
        <v>-314.65988185752576</v>
      </c>
      <c r="Y188">
        <v>-312.92185624247134</v>
      </c>
      <c r="Z188">
        <v>-312.38870049565304</v>
      </c>
      <c r="AA188">
        <v>-312.6126240737471</v>
      </c>
      <c r="AB188">
        <v>-313.49973968517759</v>
      </c>
      <c r="AC188">
        <v>-314.97421305646941</v>
      </c>
      <c r="AD188">
        <v>-316.76288748197578</v>
      </c>
      <c r="AE188">
        <v>-318.92129550777838</v>
      </c>
      <c r="AF188">
        <v>-321.40784313025995</v>
      </c>
      <c r="AG188">
        <v>-323.97553329774041</v>
      </c>
      <c r="AH188">
        <v>-326.72221387823089</v>
      </c>
      <c r="AI188">
        <v>-329.64397921318312</v>
      </c>
      <c r="AJ188">
        <v>-332.63000000000011</v>
      </c>
    </row>
    <row r="189" spans="1:43" x14ac:dyDescent="0.25">
      <c r="B189" t="s">
        <v>340</v>
      </c>
      <c r="T189">
        <v>-74.38960303813171</v>
      </c>
      <c r="U189">
        <v>-74.38960303813171</v>
      </c>
      <c r="V189">
        <v>-74.38960303813171</v>
      </c>
      <c r="W189">
        <v>-74.38960303813171</v>
      </c>
      <c r="X189">
        <v>-74.38960303813171</v>
      </c>
      <c r="Y189">
        <v>-74.38960303813171</v>
      </c>
      <c r="Z189">
        <v>-74.38960303813171</v>
      </c>
      <c r="AA189">
        <v>-74.38960303813171</v>
      </c>
      <c r="AB189">
        <v>-74.38960303813171</v>
      </c>
      <c r="AC189">
        <v>-74.38960303813171</v>
      </c>
      <c r="AD189">
        <v>-74.38960303813171</v>
      </c>
      <c r="AE189">
        <v>-74.38960303813171</v>
      </c>
      <c r="AF189">
        <v>-74.38960303813171</v>
      </c>
      <c r="AG189">
        <v>-74.38960303813171</v>
      </c>
      <c r="AH189">
        <v>-74.38960303813171</v>
      </c>
      <c r="AI189">
        <v>-74.38960303813171</v>
      </c>
      <c r="AJ189">
        <v>-74.38960303813171</v>
      </c>
    </row>
    <row r="190" spans="1:43" x14ac:dyDescent="0.25">
      <c r="B190" t="s">
        <v>341</v>
      </c>
      <c r="T190">
        <v>-332.63121405600623</v>
      </c>
      <c r="U190">
        <v>-332.63121405600623</v>
      </c>
      <c r="V190">
        <v>-332.63121405600623</v>
      </c>
      <c r="W190">
        <v>-332.63121405600623</v>
      </c>
      <c r="X190">
        <v>-332.63121405600623</v>
      </c>
      <c r="Y190">
        <v>-332.63121405600623</v>
      </c>
      <c r="Z190">
        <v>-332.63121405600623</v>
      </c>
      <c r="AA190">
        <v>-332.63121405600623</v>
      </c>
      <c r="AB190">
        <v>-332.63121405600623</v>
      </c>
      <c r="AC190">
        <v>-332.63121405600623</v>
      </c>
      <c r="AD190">
        <v>-332.63121405600623</v>
      </c>
      <c r="AE190">
        <v>-332.63121405600623</v>
      </c>
      <c r="AF190">
        <v>-332.63121405600623</v>
      </c>
      <c r="AG190">
        <v>-332.63121405600623</v>
      </c>
      <c r="AH190">
        <v>-332.63121405600623</v>
      </c>
      <c r="AI190">
        <v>-332.63121405600623</v>
      </c>
      <c r="AJ190">
        <v>-332.63121405600623</v>
      </c>
    </row>
    <row r="191" spans="1:43" x14ac:dyDescent="0.25">
      <c r="B191" t="s">
        <v>342</v>
      </c>
      <c r="T191">
        <v>-946.37395124562352</v>
      </c>
      <c r="U191">
        <v>-946.41006880579891</v>
      </c>
      <c r="V191">
        <v>-946.41008213577311</v>
      </c>
      <c r="W191">
        <v>-946.41009456897621</v>
      </c>
      <c r="X191">
        <v>-946.41010620116606</v>
      </c>
      <c r="Y191">
        <v>-946.41011704449227</v>
      </c>
      <c r="Z191">
        <v>-946.41012715547811</v>
      </c>
      <c r="AA191">
        <v>-946.41013660070507</v>
      </c>
      <c r="AB191">
        <v>-946.4101452660509</v>
      </c>
      <c r="AC191">
        <v>-946.4101533625219</v>
      </c>
      <c r="AD191">
        <v>-946.41016090200026</v>
      </c>
      <c r="AE191">
        <v>-946.41016794235372</v>
      </c>
      <c r="AF191">
        <v>-946.41017449526055</v>
      </c>
      <c r="AG191">
        <v>-946.41018061096565</v>
      </c>
      <c r="AH191">
        <v>-946.41018630071017</v>
      </c>
      <c r="AI191">
        <v>-946.41019160552139</v>
      </c>
      <c r="AJ191">
        <v>-946.41019654116531</v>
      </c>
    </row>
    <row r="192" spans="1:43" x14ac:dyDescent="0.25">
      <c r="B192" t="s">
        <v>343</v>
      </c>
      <c r="T192">
        <v>-946.37395124562352</v>
      </c>
      <c r="U192">
        <v>-942.3805501176987</v>
      </c>
      <c r="V192">
        <v>-939.54703016391545</v>
      </c>
      <c r="W192">
        <v>-937.69657218023679</v>
      </c>
      <c r="X192">
        <v>-936.1406585406055</v>
      </c>
      <c r="Y192">
        <v>-935.29470578125608</v>
      </c>
      <c r="Z192">
        <v>-935.30338203985139</v>
      </c>
      <c r="AA192">
        <v>-935.74898931358325</v>
      </c>
      <c r="AB192">
        <v>-936.40122936364946</v>
      </c>
      <c r="AC192">
        <v>-937.38916408737077</v>
      </c>
      <c r="AD192">
        <v>-938.46343070460205</v>
      </c>
      <c r="AE192">
        <v>-939.70185417406196</v>
      </c>
      <c r="AF192">
        <v>-941.08368844987376</v>
      </c>
      <c r="AG192">
        <v>-942.38140382901656</v>
      </c>
      <c r="AH192">
        <v>-943.71099433410507</v>
      </c>
      <c r="AI192">
        <v>-945.08544340808078</v>
      </c>
      <c r="AJ192">
        <v>-946.40999999999951</v>
      </c>
    </row>
    <row r="193" spans="1:36" x14ac:dyDescent="0.25">
      <c r="A193">
        <v>2040</v>
      </c>
      <c r="B193" t="s">
        <v>338</v>
      </c>
      <c r="Y193">
        <v>-20.355616524274538</v>
      </c>
      <c r="Z193">
        <v>-17.149091829641499</v>
      </c>
      <c r="AA193">
        <v>-14.738555122842811</v>
      </c>
      <c r="AB193">
        <v>-13.0122029772768</v>
      </c>
      <c r="AC193">
        <v>-11.718209370819594</v>
      </c>
      <c r="AD193">
        <v>-10.886471190309535</v>
      </c>
      <c r="AE193">
        <v>-10.474516276337035</v>
      </c>
      <c r="AF193">
        <v>-10.357979547152645</v>
      </c>
      <c r="AG193">
        <v>-10.420425919193747</v>
      </c>
      <c r="AH193">
        <v>-10.708338040121664</v>
      </c>
      <c r="AI193">
        <v>-11.240526425014671</v>
      </c>
      <c r="AJ193">
        <v>-11.890000000000146</v>
      </c>
    </row>
    <row r="194" spans="1:36" x14ac:dyDescent="0.25">
      <c r="B194" t="s">
        <v>339</v>
      </c>
      <c r="Y194">
        <v>-308.43731825716611</v>
      </c>
      <c r="Z194">
        <v>-305.16111189398208</v>
      </c>
      <c r="AA194">
        <v>-302.93951154432432</v>
      </c>
      <c r="AB194">
        <v>-301.88322172115295</v>
      </c>
      <c r="AC194">
        <v>-301.40497862642258</v>
      </c>
      <c r="AD194">
        <v>-301.29013178916074</v>
      </c>
      <c r="AE194">
        <v>-301.66574512518224</v>
      </c>
      <c r="AF194">
        <v>-302.51670128914901</v>
      </c>
      <c r="AG194">
        <v>-303.58384883413885</v>
      </c>
      <c r="AH194">
        <v>-304.95388480683977</v>
      </c>
      <c r="AI194">
        <v>-306.61267343739792</v>
      </c>
      <c r="AJ194">
        <v>-308.44000000000011</v>
      </c>
    </row>
    <row r="195" spans="1:36" x14ac:dyDescent="0.25">
      <c r="B195" t="s">
        <v>340</v>
      </c>
      <c r="Y195">
        <v>-20.355616524274538</v>
      </c>
      <c r="Z195">
        <v>-20.355616524274538</v>
      </c>
      <c r="AA195">
        <v>-20.355616524274538</v>
      </c>
      <c r="AB195">
        <v>-20.355616524274538</v>
      </c>
      <c r="AC195">
        <v>-20.355616524274538</v>
      </c>
      <c r="AD195">
        <v>-20.355616524274538</v>
      </c>
      <c r="AE195">
        <v>-20.355616524274538</v>
      </c>
      <c r="AF195">
        <v>-20.355616524274538</v>
      </c>
      <c r="AG195">
        <v>-20.355616524274538</v>
      </c>
      <c r="AH195">
        <v>-20.355616524274538</v>
      </c>
      <c r="AI195">
        <v>-20.355616524274538</v>
      </c>
      <c r="AJ195">
        <v>-20.355616524274538</v>
      </c>
    </row>
    <row r="196" spans="1:36" x14ac:dyDescent="0.25">
      <c r="B196" t="s">
        <v>341</v>
      </c>
      <c r="Y196">
        <v>-308.43731825716611</v>
      </c>
      <c r="Z196">
        <v>-308.43731825716611</v>
      </c>
      <c r="AA196">
        <v>-308.43731825716611</v>
      </c>
      <c r="AB196">
        <v>-308.43731825716611</v>
      </c>
      <c r="AC196">
        <v>-308.43731825716611</v>
      </c>
      <c r="AD196">
        <v>-308.43731825716611</v>
      </c>
      <c r="AE196">
        <v>-308.43731825716611</v>
      </c>
      <c r="AF196">
        <v>-308.43731825716611</v>
      </c>
      <c r="AG196">
        <v>-308.43731825716611</v>
      </c>
      <c r="AH196">
        <v>-308.43731825716611</v>
      </c>
      <c r="AI196">
        <v>-308.43731825716611</v>
      </c>
      <c r="AJ196">
        <v>-308.43731825716611</v>
      </c>
    </row>
    <row r="197" spans="1:36" x14ac:dyDescent="0.25">
      <c r="B197" t="s">
        <v>342</v>
      </c>
      <c r="Y197">
        <v>-1027.2452795197667</v>
      </c>
      <c r="Z197">
        <v>-1027.2713473377412</v>
      </c>
      <c r="AA197">
        <v>-1027.271356782968</v>
      </c>
      <c r="AB197">
        <v>-1027.2713654483139</v>
      </c>
      <c r="AC197">
        <v>-1027.2713735447849</v>
      </c>
      <c r="AD197">
        <v>-1027.2713810842633</v>
      </c>
      <c r="AE197">
        <v>-1027.2713881246168</v>
      </c>
      <c r="AF197">
        <v>-1027.2713946775236</v>
      </c>
      <c r="AG197">
        <v>-1027.2714007932286</v>
      </c>
      <c r="AH197">
        <v>-1027.2714064829731</v>
      </c>
      <c r="AI197">
        <v>-1027.2714117877845</v>
      </c>
      <c r="AJ197">
        <v>-1027.2714167234283</v>
      </c>
    </row>
    <row r="198" spans="1:36" x14ac:dyDescent="0.25">
      <c r="B198" t="s">
        <v>343</v>
      </c>
      <c r="Y198">
        <v>-1027.2452795197667</v>
      </c>
      <c r="Z198">
        <v>-1025.7587973084885</v>
      </c>
      <c r="AA198">
        <v>-1024.8326995639877</v>
      </c>
      <c r="AB198">
        <v>-1024.2264946431983</v>
      </c>
      <c r="AC198">
        <v>-1024.0598926964099</v>
      </c>
      <c r="AD198">
        <v>-1024.0749513590451</v>
      </c>
      <c r="AE198">
        <v>-1024.3416244114444</v>
      </c>
      <c r="AF198">
        <v>-1024.8319445431639</v>
      </c>
      <c r="AG198">
        <v>-1025.3117570378183</v>
      </c>
      <c r="AH198">
        <v>-1025.8909779241103</v>
      </c>
      <c r="AI198">
        <v>-1026.5770145037773</v>
      </c>
      <c r="AJ198">
        <v>-1027.2699999999998</v>
      </c>
    </row>
    <row r="260" s="28" customFormat="1" x14ac:dyDescent="0.25"/>
    <row r="289" spans="2:36" s="28" customFormat="1" x14ac:dyDescent="0.25"/>
    <row r="291" spans="2:36" x14ac:dyDescent="0.25">
      <c r="C291">
        <v>2017</v>
      </c>
      <c r="D291" s="330">
        <v>2018</v>
      </c>
      <c r="E291" s="330">
        <v>2019</v>
      </c>
      <c r="F291" s="330">
        <v>2020</v>
      </c>
      <c r="G291" s="330">
        <v>2021</v>
      </c>
      <c r="H291" s="330">
        <v>2022</v>
      </c>
      <c r="I291" s="330">
        <v>2023</v>
      </c>
      <c r="J291" s="330">
        <v>2024</v>
      </c>
      <c r="K291" s="330">
        <v>2025</v>
      </c>
      <c r="L291" s="330">
        <v>2026</v>
      </c>
      <c r="M291" s="330">
        <v>2027</v>
      </c>
      <c r="N291" s="330">
        <v>2028</v>
      </c>
      <c r="O291" s="330">
        <v>2029</v>
      </c>
      <c r="P291" s="330">
        <v>2030</v>
      </c>
      <c r="Q291" s="330">
        <v>2031</v>
      </c>
      <c r="R291" s="330">
        <v>2032</v>
      </c>
      <c r="S291" s="330">
        <v>2033</v>
      </c>
      <c r="T291" s="330">
        <v>2034</v>
      </c>
      <c r="U291" s="330">
        <v>2035</v>
      </c>
      <c r="V291" s="330">
        <v>2036</v>
      </c>
      <c r="W291" s="330">
        <v>2037</v>
      </c>
      <c r="X291" s="330">
        <v>2038</v>
      </c>
      <c r="Y291" s="330">
        <v>2039</v>
      </c>
      <c r="Z291" s="330">
        <v>2040</v>
      </c>
      <c r="AA291" s="330">
        <v>2041</v>
      </c>
      <c r="AB291" s="330">
        <v>2042</v>
      </c>
      <c r="AC291" s="330">
        <v>2043</v>
      </c>
      <c r="AD291" s="330">
        <v>2044</v>
      </c>
      <c r="AE291" s="330">
        <v>2045</v>
      </c>
      <c r="AF291" s="330">
        <v>2046</v>
      </c>
      <c r="AG291" s="330">
        <v>2047</v>
      </c>
      <c r="AH291" s="330">
        <v>2048</v>
      </c>
      <c r="AI291" s="330">
        <v>2049</v>
      </c>
      <c r="AJ291" s="330">
        <v>2050</v>
      </c>
    </row>
    <row r="292" spans="2:36" x14ac:dyDescent="0.25">
      <c r="B292" t="s">
        <v>387</v>
      </c>
      <c r="C292">
        <v>-448.78162891104017</v>
      </c>
      <c r="D292">
        <v>-521.89668509904016</v>
      </c>
      <c r="E292">
        <v>-591.45743309904014</v>
      </c>
      <c r="F292">
        <v>-515.46024946014495</v>
      </c>
      <c r="G292">
        <v>-569.38754806029249</v>
      </c>
      <c r="H292">
        <v>-627.84122272711647</v>
      </c>
      <c r="I292">
        <v>-688.06758936577705</v>
      </c>
      <c r="J292">
        <v>-751.2448138564107</v>
      </c>
      <c r="K292">
        <v>-815.34298089785955</v>
      </c>
      <c r="L292">
        <v>-878.5808953361194</v>
      </c>
      <c r="M292">
        <v>-942.2849403662143</v>
      </c>
      <c r="N292">
        <v>-1005.0285095079541</v>
      </c>
      <c r="O292">
        <v>-1066.3474638513881</v>
      </c>
      <c r="P292">
        <v>-1092.3976324341804</v>
      </c>
      <c r="Q292">
        <v>-1118.5142247820609</v>
      </c>
      <c r="R292">
        <v>-1146.6028198265335</v>
      </c>
      <c r="S292">
        <v>-1173.9069798902117</v>
      </c>
      <c r="T292">
        <v>-1201.8653813883486</v>
      </c>
      <c r="U292">
        <v>-1229.2702974133349</v>
      </c>
      <c r="V292">
        <v>-1256.6181372094093</v>
      </c>
      <c r="W292">
        <v>-1283.071151009699</v>
      </c>
      <c r="X292">
        <v>-1308.8123136609347</v>
      </c>
      <c r="Y292">
        <v>-1333.3108671642351</v>
      </c>
      <c r="Z292">
        <v>-1356.849690238718</v>
      </c>
      <c r="AA292">
        <v>-1379.7712512994326</v>
      </c>
      <c r="AB292">
        <v>-1401.0909440712567</v>
      </c>
      <c r="AC292">
        <v>-1421.8516763539726</v>
      </c>
      <c r="AD292">
        <v>-1441.3084045832861</v>
      </c>
      <c r="AE292">
        <v>-1460.1074638166522</v>
      </c>
      <c r="AF292">
        <v>-1477.8983861563966</v>
      </c>
      <c r="AG292">
        <v>-1494.9736423808156</v>
      </c>
      <c r="AH292">
        <v>-1511.0087433458345</v>
      </c>
      <c r="AI292">
        <v>-1526.3952497100061</v>
      </c>
      <c r="AJ292">
        <v>-1540.8213933061427</v>
      </c>
    </row>
    <row r="293" spans="2:36" x14ac:dyDescent="0.25">
      <c r="B293" t="s">
        <v>388</v>
      </c>
      <c r="C293">
        <v>-448.78162891104017</v>
      </c>
      <c r="D293">
        <v>-521.89668509904016</v>
      </c>
      <c r="E293">
        <v>-591.45743309904014</v>
      </c>
      <c r="F293">
        <v>-515.46024946014495</v>
      </c>
      <c r="G293">
        <v>-544.3606685457155</v>
      </c>
      <c r="H293">
        <v>-577.94053329743997</v>
      </c>
      <c r="I293">
        <v>-615.34689083967896</v>
      </c>
      <c r="J293">
        <v>-655.97788192523842</v>
      </c>
      <c r="K293">
        <v>-699.39143116386686</v>
      </c>
      <c r="L293">
        <v>-743.65263202155757</v>
      </c>
      <c r="M293">
        <v>-788.70328886629613</v>
      </c>
      <c r="N293">
        <v>-834.33365783798433</v>
      </c>
      <c r="O293">
        <v>-878.90574962968583</v>
      </c>
      <c r="P293">
        <v>-889.59182412831979</v>
      </c>
      <c r="Q293">
        <v>-901.612917316422</v>
      </c>
      <c r="R293">
        <v>-915.96163359276227</v>
      </c>
      <c r="S293">
        <v>-930.6604002911813</v>
      </c>
      <c r="T293">
        <v>-946.37395124562352</v>
      </c>
      <c r="U293">
        <v>-962.54505943235768</v>
      </c>
      <c r="V293">
        <v>-979.01408429842229</v>
      </c>
      <c r="W293">
        <v>-995.4865339427397</v>
      </c>
      <c r="X293">
        <v>-1011.5892956707768</v>
      </c>
      <c r="Y293">
        <v>-1027.2452795197667</v>
      </c>
      <c r="Z293">
        <v>-1042.6716533701115</v>
      </c>
      <c r="AA293">
        <v>-1057.7784697653717</v>
      </c>
      <c r="AB293">
        <v>-1071.9286720184302</v>
      </c>
      <c r="AC293">
        <v>-1085.7986751000612</v>
      </c>
      <c r="AD293">
        <v>-1098.9336334201225</v>
      </c>
      <c r="AE293">
        <v>-1111.6692769773915</v>
      </c>
      <c r="AF293">
        <v>-1123.8974326418174</v>
      </c>
      <c r="AG293">
        <v>-1135.6473438240489</v>
      </c>
      <c r="AH293">
        <v>-1146.796807135685</v>
      </c>
      <c r="AI293">
        <v>-1157.5143172714706</v>
      </c>
      <c r="AJ293">
        <v>-1167.6569780892717</v>
      </c>
    </row>
    <row r="294" spans="2:36" x14ac:dyDescent="0.25">
      <c r="B294" t="s">
        <v>389</v>
      </c>
      <c r="C294">
        <v>-448.78162891104017</v>
      </c>
      <c r="D294">
        <v>-521.89668509904016</v>
      </c>
      <c r="E294">
        <v>-591.45743309904014</v>
      </c>
      <c r="F294">
        <v>-515.46024946014495</v>
      </c>
      <c r="G294">
        <v>-532.31068952017847</v>
      </c>
      <c r="H294">
        <v>-553.91427542389204</v>
      </c>
      <c r="I294">
        <v>-580.33322117896512</v>
      </c>
      <c r="J294">
        <v>-610.10861840282223</v>
      </c>
      <c r="K294">
        <v>-643.56290721787059</v>
      </c>
      <c r="L294">
        <v>-678.68717190713915</v>
      </c>
      <c r="M294">
        <v>-714.7565677737432</v>
      </c>
      <c r="N294">
        <v>-752.14724777466586</v>
      </c>
      <c r="O294">
        <v>-788.65603537479251</v>
      </c>
      <c r="P294">
        <v>-791.9445830921652</v>
      </c>
      <c r="Q294">
        <v>-797.17895446259638</v>
      </c>
      <c r="R294">
        <v>-804.91217355428023</v>
      </c>
      <c r="S294">
        <v>-813.54167678053739</v>
      </c>
      <c r="T294">
        <v>-823.35955895468203</v>
      </c>
      <c r="U294">
        <v>-834.12179670077626</v>
      </c>
      <c r="V294">
        <v>-845.35287363757698</v>
      </c>
      <c r="W294">
        <v>-857.01986646605599</v>
      </c>
      <c r="X294">
        <v>-868.48191663847888</v>
      </c>
      <c r="Y294">
        <v>-879.88036695020799</v>
      </c>
      <c r="Z294">
        <v>-891.40074672967137</v>
      </c>
      <c r="AA294">
        <v>-902.74490828600926</v>
      </c>
      <c r="AB294">
        <v>-913.44313362262528</v>
      </c>
      <c r="AC294">
        <v>-923.99537820003002</v>
      </c>
      <c r="AD294">
        <v>-934.08652137859929</v>
      </c>
      <c r="AE294">
        <v>-943.90274257330316</v>
      </c>
      <c r="AF294">
        <v>-953.45252909776104</v>
      </c>
      <c r="AG294">
        <v>-962.63838525968015</v>
      </c>
      <c r="AH294">
        <v>-971.43550451598355</v>
      </c>
      <c r="AI294">
        <v>-979.90497943069442</v>
      </c>
      <c r="AJ294">
        <v>-987.98522261448193</v>
      </c>
    </row>
    <row r="319" s="28" customForma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A175"/>
  <sheetViews>
    <sheetView topLeftCell="B1" zoomScaleNormal="100" workbookViewId="0">
      <selection activeCell="C52" sqref="C52"/>
    </sheetView>
  </sheetViews>
  <sheetFormatPr defaultRowHeight="15" x14ac:dyDescent="0.25"/>
  <cols>
    <col min="2" max="2" width="58.140625" customWidth="1"/>
    <col min="3" max="3" width="35.7109375" bestFit="1" customWidth="1"/>
    <col min="4" max="4" width="38.140625" bestFit="1" customWidth="1"/>
    <col min="5" max="5" width="23" bestFit="1" customWidth="1"/>
    <col min="6" max="6" width="17.7109375" bestFit="1" customWidth="1"/>
    <col min="7" max="7" width="19.7109375" bestFit="1" customWidth="1"/>
    <col min="8" max="8" width="23.42578125" bestFit="1" customWidth="1"/>
    <col min="9" max="9" width="22.85546875" bestFit="1" customWidth="1"/>
    <col min="10" max="11" width="18.28515625" bestFit="1" customWidth="1"/>
    <col min="12" max="12" width="20.7109375" customWidth="1"/>
    <col min="13" max="13" width="19.7109375" bestFit="1" customWidth="1"/>
    <col min="14" max="14" width="16.5703125" bestFit="1" customWidth="1"/>
    <col min="15" max="15" width="17" bestFit="1" customWidth="1"/>
    <col min="16" max="16" width="12.5703125" bestFit="1" customWidth="1"/>
    <col min="17" max="17" width="19.7109375" bestFit="1" customWidth="1"/>
    <col min="18" max="36" width="11" bestFit="1" customWidth="1"/>
  </cols>
  <sheetData>
    <row r="1" spans="1:53" x14ac:dyDescent="0.2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</row>
    <row r="2" spans="1:53" ht="18.75" x14ac:dyDescent="0.3">
      <c r="B2" s="25" t="s">
        <v>128</v>
      </c>
      <c r="C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53" x14ac:dyDescent="0.25">
      <c r="B3" s="15"/>
      <c r="C3" s="15"/>
      <c r="E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53" x14ac:dyDescent="0.25">
      <c r="B4" s="21" t="s">
        <v>136</v>
      </c>
      <c r="C4" s="15"/>
      <c r="D4" s="15"/>
      <c r="E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53" x14ac:dyDescent="0.25">
      <c r="B5" s="22" t="s">
        <v>256</v>
      </c>
      <c r="C5" s="15"/>
      <c r="D5" s="15"/>
      <c r="E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</row>
    <row r="6" spans="1:53" x14ac:dyDescent="0.25">
      <c r="B6" s="174" t="s">
        <v>255</v>
      </c>
      <c r="C6" s="15"/>
      <c r="D6" s="15"/>
      <c r="E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</row>
    <row r="7" spans="1:53" x14ac:dyDescent="0.25">
      <c r="B7" s="174" t="s">
        <v>254</v>
      </c>
      <c r="C7" s="15"/>
      <c r="D7" s="15"/>
      <c r="E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53" x14ac:dyDescent="0.25">
      <c r="C8" s="15"/>
      <c r="E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</row>
    <row r="9" spans="1:53" s="30" customFormat="1" x14ac:dyDescent="0.25">
      <c r="A9" s="28"/>
      <c r="B9" s="29" t="s">
        <v>127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</row>
    <row r="10" spans="1:53" x14ac:dyDescent="0.25">
      <c r="B10" s="21"/>
      <c r="C10" s="15"/>
      <c r="D10" s="15"/>
      <c r="E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53" x14ac:dyDescent="0.25">
      <c r="C11" s="369" t="s">
        <v>130</v>
      </c>
      <c r="D11" s="370"/>
      <c r="E11" s="371"/>
      <c r="F11" s="369" t="s">
        <v>129</v>
      </c>
      <c r="G11" s="370"/>
      <c r="H11" s="371"/>
      <c r="I11" s="175" t="s">
        <v>131</v>
      </c>
      <c r="J11" s="354" t="s">
        <v>149</v>
      </c>
      <c r="K11" s="354"/>
      <c r="L11" s="354"/>
      <c r="M11" s="220"/>
      <c r="O11" s="15"/>
      <c r="P11" s="15"/>
      <c r="Q11" s="15"/>
      <c r="R11" s="15"/>
      <c r="S11" s="15"/>
      <c r="T11" s="15"/>
      <c r="U11" s="15"/>
      <c r="V11" s="15"/>
      <c r="W11" s="15"/>
    </row>
    <row r="12" spans="1:53" x14ac:dyDescent="0.25">
      <c r="B12" s="377" t="s">
        <v>33</v>
      </c>
      <c r="C12" s="167" t="s">
        <v>177</v>
      </c>
      <c r="D12" s="167" t="s">
        <v>32</v>
      </c>
      <c r="E12" s="167" t="s">
        <v>135</v>
      </c>
      <c r="F12" s="147" t="s">
        <v>175</v>
      </c>
      <c r="G12" s="167" t="s">
        <v>32</v>
      </c>
      <c r="H12" s="167" t="s">
        <v>135</v>
      </c>
      <c r="I12" s="147" t="s">
        <v>9</v>
      </c>
      <c r="J12" s="169" t="s">
        <v>175</v>
      </c>
      <c r="K12" s="184" t="s">
        <v>32</v>
      </c>
      <c r="L12" s="184" t="s">
        <v>9</v>
      </c>
      <c r="M12" s="221"/>
      <c r="O12" s="15"/>
      <c r="P12" s="15"/>
      <c r="Q12" s="15"/>
      <c r="R12" s="15"/>
      <c r="S12" s="15"/>
      <c r="T12" s="15"/>
      <c r="U12" s="15"/>
      <c r="V12" s="15"/>
      <c r="W12" s="15"/>
    </row>
    <row r="13" spans="1:53" x14ac:dyDescent="0.25">
      <c r="B13" s="378"/>
      <c r="C13" s="167" t="s">
        <v>140</v>
      </c>
      <c r="D13" s="167" t="s">
        <v>140</v>
      </c>
      <c r="E13" s="167" t="s">
        <v>140</v>
      </c>
      <c r="F13" s="167" t="s">
        <v>140</v>
      </c>
      <c r="G13" s="167" t="s">
        <v>140</v>
      </c>
      <c r="H13" s="167" t="s">
        <v>140</v>
      </c>
      <c r="I13" s="147" t="s">
        <v>140</v>
      </c>
      <c r="J13" s="184" t="s">
        <v>163</v>
      </c>
      <c r="K13" s="184" t="s">
        <v>163</v>
      </c>
      <c r="L13" s="184" t="s">
        <v>163</v>
      </c>
      <c r="M13" s="220"/>
      <c r="N13" s="128"/>
      <c r="O13" s="15"/>
      <c r="P13" s="15"/>
      <c r="Q13" s="15"/>
      <c r="R13" s="15"/>
      <c r="S13" s="15"/>
      <c r="T13" s="15"/>
      <c r="U13" s="15"/>
      <c r="V13" s="15"/>
      <c r="W13" s="15"/>
    </row>
    <row r="14" spans="1:53" x14ac:dyDescent="0.25">
      <c r="B14" s="49" t="s">
        <v>5</v>
      </c>
      <c r="C14" s="180">
        <f>0.000000854</f>
        <v>8.54E-7</v>
      </c>
      <c r="D14" s="180">
        <f>2*10^-3</f>
        <v>2E-3</v>
      </c>
      <c r="E14" s="180">
        <f>1.05*10^-1</f>
        <v>0.10500000000000001</v>
      </c>
      <c r="F14" s="173">
        <v>3.54E-6</v>
      </c>
      <c r="G14" s="180">
        <f>4.52*10^-4</f>
        <v>4.5199999999999998E-4</v>
      </c>
      <c r="H14" s="180">
        <f>7.96*10^-3</f>
        <v>7.9600000000000001E-3</v>
      </c>
      <c r="I14" s="177" t="s">
        <v>10</v>
      </c>
      <c r="J14" s="184">
        <f t="shared" ref="J14:L15" si="0">(C14+F14)/1000</f>
        <v>4.3939999999999995E-9</v>
      </c>
      <c r="K14" s="185">
        <f t="shared" si="0"/>
        <v>2.452E-6</v>
      </c>
      <c r="L14" s="185">
        <f t="shared" si="0"/>
        <v>1.1296E-4</v>
      </c>
      <c r="M14" s="219">
        <f>J14+K14+L14</f>
        <v>1.1541639400000001E-4</v>
      </c>
      <c r="N14" s="128"/>
      <c r="O14" s="131"/>
      <c r="P14" s="131"/>
      <c r="Q14" s="15"/>
      <c r="R14" s="15"/>
      <c r="S14" s="15"/>
      <c r="T14" s="15"/>
      <c r="U14" s="15"/>
      <c r="V14" s="15"/>
      <c r="W14" s="15"/>
    </row>
    <row r="15" spans="1:53" x14ac:dyDescent="0.25">
      <c r="B15" s="49" t="s">
        <v>7</v>
      </c>
      <c r="C15" s="180">
        <f>0.0000000000209</f>
        <v>2.09E-11</v>
      </c>
      <c r="D15" s="180">
        <f>6.25*10^-8</f>
        <v>6.2499999999999997E-8</v>
      </c>
      <c r="E15" s="180">
        <f>2.19*10^-7</f>
        <v>2.1899999999999999E-7</v>
      </c>
      <c r="F15" s="173">
        <v>7.1300000000000002E-11</v>
      </c>
      <c r="G15" s="180">
        <f>2.41*10^-8</f>
        <v>2.4100000000000001E-8</v>
      </c>
      <c r="H15" s="180">
        <f>1.38*10^-7</f>
        <v>1.3799999999999999E-7</v>
      </c>
      <c r="I15" s="178" t="s">
        <v>10</v>
      </c>
      <c r="J15" s="184">
        <f t="shared" si="0"/>
        <v>9.2200000000000001E-14</v>
      </c>
      <c r="K15" s="185">
        <f t="shared" si="0"/>
        <v>8.659999999999999E-11</v>
      </c>
      <c r="L15" s="185">
        <f t="shared" si="0"/>
        <v>3.5699999999999996E-10</v>
      </c>
      <c r="M15" s="219"/>
      <c r="N15" s="128"/>
      <c r="O15" s="131"/>
      <c r="P15" s="15"/>
      <c r="Q15" s="15"/>
      <c r="R15" s="15"/>
      <c r="S15" s="15"/>
      <c r="T15" s="15"/>
      <c r="U15" s="15"/>
      <c r="V15" s="15"/>
      <c r="W15" s="15"/>
    </row>
    <row r="16" spans="1:53" x14ac:dyDescent="0.25">
      <c r="B16" s="49" t="s">
        <v>6</v>
      </c>
      <c r="C16" s="176">
        <f>0.00000000091</f>
        <v>9.0999999999999996E-10</v>
      </c>
      <c r="D16" s="180">
        <f>3.66*10^-6</f>
        <v>3.6600000000000001E-6</v>
      </c>
      <c r="E16" s="176" t="s">
        <v>132</v>
      </c>
      <c r="F16" s="173">
        <v>3.4900000000000001E-9</v>
      </c>
      <c r="G16" s="180">
        <f>5.31*10^-7</f>
        <v>5.3099999999999998E-7</v>
      </c>
      <c r="H16" s="176" t="s">
        <v>132</v>
      </c>
      <c r="I16" s="181">
        <f>0.023</f>
        <v>2.3E-2</v>
      </c>
      <c r="J16" s="184">
        <f>(C16+F16)/1000</f>
        <v>4.3999999999999998E-12</v>
      </c>
      <c r="K16" s="185">
        <f>(D16+G16)/1000</f>
        <v>4.1910000000000001E-9</v>
      </c>
      <c r="L16" s="185">
        <f>I16/1000</f>
        <v>2.3E-5</v>
      </c>
      <c r="M16" s="219"/>
      <c r="N16" s="128"/>
      <c r="O16" s="131"/>
      <c r="P16" s="15"/>
      <c r="Q16" s="15"/>
      <c r="R16" s="15"/>
      <c r="S16" s="15"/>
      <c r="T16" s="15"/>
      <c r="U16" s="15"/>
      <c r="V16" s="15"/>
      <c r="W16" s="15"/>
    </row>
    <row r="17" spans="1:53" x14ac:dyDescent="0.25">
      <c r="B17" s="179" t="s">
        <v>179</v>
      </c>
      <c r="C17" s="15"/>
      <c r="D17" s="15"/>
      <c r="E17" s="15"/>
      <c r="M17" s="131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53" x14ac:dyDescent="0.25">
      <c r="B18" s="15"/>
      <c r="C18" s="15"/>
      <c r="D18" s="15"/>
      <c r="E18" s="131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53" s="30" customFormat="1" x14ac:dyDescent="0.25">
      <c r="A19" s="28"/>
      <c r="B19" s="29" t="s">
        <v>134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</row>
    <row r="20" spans="1:53" x14ac:dyDescent="0.25">
      <c r="B20" s="15"/>
      <c r="C20" s="15"/>
      <c r="D20" s="15"/>
      <c r="E20" s="15"/>
      <c r="F20" s="15"/>
      <c r="G20" s="15"/>
      <c r="H20" s="15"/>
      <c r="I20" s="131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53" x14ac:dyDescent="0.25">
      <c r="B21" s="379" t="s">
        <v>139</v>
      </c>
      <c r="C21" s="379"/>
      <c r="D21" s="379"/>
      <c r="E21" s="174"/>
      <c r="F21" s="174"/>
      <c r="G21" s="131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53" x14ac:dyDescent="0.25">
      <c r="B22" s="167" t="s">
        <v>138</v>
      </c>
      <c r="C22" s="167" t="s">
        <v>142</v>
      </c>
      <c r="D22" s="166" t="s">
        <v>143</v>
      </c>
      <c r="E22" s="5"/>
      <c r="F22" s="155"/>
      <c r="G22" s="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53" x14ac:dyDescent="0.25">
      <c r="B23" s="167" t="s">
        <v>37</v>
      </c>
      <c r="C23" s="182" t="s">
        <v>35</v>
      </c>
      <c r="D23" s="166" t="s">
        <v>36</v>
      </c>
      <c r="E23" s="5"/>
      <c r="F23" s="187"/>
      <c r="G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53" ht="16.5" customHeight="1" x14ac:dyDescent="0.25">
      <c r="B24" s="167">
        <v>90562</v>
      </c>
      <c r="C24" s="44">
        <v>555</v>
      </c>
      <c r="D24" s="183">
        <v>0.85</v>
      </c>
      <c r="E24" s="155"/>
      <c r="F24" s="188"/>
      <c r="G24" s="131"/>
      <c r="H24" s="128"/>
      <c r="I24" s="128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53" ht="16.5" customHeight="1" x14ac:dyDescent="0.25">
      <c r="B25" s="15"/>
      <c r="C25" s="45"/>
      <c r="D25" s="42"/>
      <c r="E25" s="15"/>
      <c r="F25" s="43"/>
      <c r="G25" s="15"/>
      <c r="I25" s="128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53" x14ac:dyDescent="0.25">
      <c r="B26" s="375" t="s">
        <v>137</v>
      </c>
      <c r="C26" s="375"/>
      <c r="D26" s="375"/>
      <c r="E26" s="375"/>
      <c r="F26" s="376" t="s">
        <v>141</v>
      </c>
      <c r="G26" s="357"/>
      <c r="H26" s="357"/>
      <c r="I26" s="364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53" x14ac:dyDescent="0.25">
      <c r="B27" s="372" t="s">
        <v>33</v>
      </c>
      <c r="C27" s="167" t="s">
        <v>32</v>
      </c>
      <c r="D27" s="167" t="s">
        <v>145</v>
      </c>
      <c r="E27" s="167" t="s">
        <v>9</v>
      </c>
      <c r="F27" s="184" t="s">
        <v>32</v>
      </c>
      <c r="G27" s="184" t="s">
        <v>146</v>
      </c>
      <c r="H27" s="186" t="s">
        <v>9</v>
      </c>
      <c r="I27" s="169" t="s">
        <v>147</v>
      </c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53" x14ac:dyDescent="0.25">
      <c r="B28" s="372"/>
      <c r="C28" s="167" t="s">
        <v>34</v>
      </c>
      <c r="D28" s="167" t="s">
        <v>34</v>
      </c>
      <c r="E28" s="167" t="s">
        <v>34</v>
      </c>
      <c r="F28" s="184" t="s">
        <v>155</v>
      </c>
      <c r="G28" s="184" t="s">
        <v>155</v>
      </c>
      <c r="H28" s="184" t="s">
        <v>158</v>
      </c>
      <c r="I28" s="184" t="s">
        <v>155</v>
      </c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53" x14ac:dyDescent="0.25">
      <c r="B29" s="147" t="s">
        <v>5</v>
      </c>
      <c r="C29" s="180">
        <f>3.7*10^-1</f>
        <v>0.37000000000000005</v>
      </c>
      <c r="D29" s="180">
        <v>1.4999999999999999E-2</v>
      </c>
      <c r="E29" s="180">
        <v>365</v>
      </c>
      <c r="F29" s="185">
        <f>C29*(365*24*$D$24)/1000^2</f>
        <v>2.7550200000000004E-3</v>
      </c>
      <c r="G29" s="185">
        <f>(D29*(365*24*$D$24)/2)/1000^2</f>
        <v>5.5844999999999998E-5</v>
      </c>
      <c r="H29" s="185">
        <f>E29/1000^2</f>
        <v>3.6499999999999998E-4</v>
      </c>
      <c r="I29" s="185">
        <f>(D29*(365*24*$D$24)/2)/1000^2</f>
        <v>5.5844999999999998E-5</v>
      </c>
      <c r="L29" s="128"/>
      <c r="M29" s="128"/>
      <c r="N29" s="131"/>
      <c r="O29" s="131"/>
      <c r="P29" s="131"/>
      <c r="Q29" s="131"/>
      <c r="R29" s="15"/>
      <c r="S29" s="15"/>
      <c r="T29" s="15"/>
      <c r="U29" s="15"/>
      <c r="V29" s="15"/>
      <c r="W29" s="15"/>
    </row>
    <row r="30" spans="1:53" x14ac:dyDescent="0.25">
      <c r="B30" s="147" t="s">
        <v>7</v>
      </c>
      <c r="C30" s="180">
        <f>1.15*10^-5</f>
        <v>1.15E-5</v>
      </c>
      <c r="D30" s="180">
        <v>3.7500000000000001E-7</v>
      </c>
      <c r="E30" s="180">
        <f>2.06*10^-6</f>
        <v>2.0599999999999998E-6</v>
      </c>
      <c r="F30" s="185">
        <f t="shared" ref="F30:F31" si="1">C30*(365*24*$D$24)/1000^2</f>
        <v>8.5628999999999992E-8</v>
      </c>
      <c r="G30" s="185">
        <f t="shared" ref="G30:G31" si="2">(D30*(365*24*$D$24)/2)/1000^2</f>
        <v>1.3961250000000001E-9</v>
      </c>
      <c r="H30" s="185">
        <f t="shared" ref="H30:H31" si="3">E30/1000^2</f>
        <v>2.0599999999999997E-12</v>
      </c>
      <c r="I30" s="185">
        <f t="shared" ref="I30:I31" si="4">(D30*(365*24*$D$24)/2)/1000^2</f>
        <v>1.3961250000000001E-9</v>
      </c>
      <c r="L30" s="128"/>
      <c r="M30" s="128"/>
      <c r="N30" s="131"/>
      <c r="O30" s="131"/>
      <c r="P30" s="15"/>
      <c r="Q30" s="15"/>
      <c r="R30" s="15"/>
      <c r="S30" s="15"/>
      <c r="T30" s="15"/>
      <c r="U30" s="15"/>
      <c r="V30" s="15"/>
      <c r="W30" s="15"/>
    </row>
    <row r="31" spans="1:53" x14ac:dyDescent="0.25">
      <c r="B31" s="147" t="s">
        <v>6</v>
      </c>
      <c r="C31" s="180">
        <f>3.19*10^-4</f>
        <v>3.19E-4</v>
      </c>
      <c r="D31" s="180">
        <v>1.5999999999999999E-5</v>
      </c>
      <c r="E31" s="180">
        <f>7.47*10^-6</f>
        <v>7.4699999999999996E-6</v>
      </c>
      <c r="F31" s="185">
        <f t="shared" si="1"/>
        <v>2.3752740000000001E-6</v>
      </c>
      <c r="G31" s="185">
        <f t="shared" si="2"/>
        <v>5.9567999999999994E-8</v>
      </c>
      <c r="H31" s="185">
        <f t="shared" si="3"/>
        <v>7.4699999999999995E-12</v>
      </c>
      <c r="I31" s="185">
        <f t="shared" si="4"/>
        <v>5.9567999999999994E-8</v>
      </c>
      <c r="L31" s="128"/>
      <c r="M31" s="128"/>
      <c r="N31" s="131"/>
      <c r="O31" s="131"/>
      <c r="P31" s="15"/>
      <c r="Q31" s="15"/>
      <c r="R31" s="15"/>
      <c r="S31" s="15"/>
      <c r="T31" s="15"/>
      <c r="U31" s="15"/>
      <c r="V31" s="15"/>
      <c r="W31" s="15"/>
    </row>
    <row r="32" spans="1:53" x14ac:dyDescent="0.25">
      <c r="B32" s="15" t="s">
        <v>148</v>
      </c>
      <c r="C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53" ht="16.5" customHeight="1" x14ac:dyDescent="0.25">
      <c r="B33" s="15"/>
      <c r="C33" s="45"/>
      <c r="D33" s="42"/>
      <c r="E33" s="15"/>
      <c r="F33" s="43"/>
      <c r="G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53" s="30" customFormat="1" x14ac:dyDescent="0.25">
      <c r="A34" s="28"/>
      <c r="B34" s="29" t="s">
        <v>154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</row>
    <row r="35" spans="1:53" ht="16.5" customHeight="1" x14ac:dyDescent="0.25">
      <c r="B35" s="15"/>
      <c r="C35" s="45"/>
      <c r="D35" s="42"/>
      <c r="E35" s="15"/>
      <c r="F35" s="43"/>
      <c r="G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53" ht="16.5" customHeight="1" x14ac:dyDescent="0.25">
      <c r="B36" s="366" t="s">
        <v>139</v>
      </c>
      <c r="C36" s="367"/>
      <c r="D36" s="368"/>
      <c r="E36" s="174"/>
      <c r="F36" s="174"/>
      <c r="G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53" ht="16.5" customHeight="1" x14ac:dyDescent="0.25">
      <c r="B37" s="167" t="s">
        <v>153</v>
      </c>
      <c r="C37" s="167" t="s">
        <v>151</v>
      </c>
      <c r="D37" s="166" t="s">
        <v>152</v>
      </c>
      <c r="E37" s="18"/>
      <c r="F37" s="15"/>
      <c r="G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53" ht="16.5" customHeight="1" x14ac:dyDescent="0.25">
      <c r="B38" s="167" t="s">
        <v>37</v>
      </c>
      <c r="C38" s="182" t="s">
        <v>35</v>
      </c>
      <c r="D38" s="166" t="s">
        <v>36</v>
      </c>
      <c r="E38" s="18"/>
      <c r="F38" s="189"/>
      <c r="G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53" ht="16.5" customHeight="1" x14ac:dyDescent="0.25">
      <c r="B39" s="167">
        <v>90562</v>
      </c>
      <c r="C39" s="44">
        <v>474</v>
      </c>
      <c r="D39" s="183">
        <v>0.85</v>
      </c>
      <c r="E39" s="15"/>
      <c r="F39" s="43"/>
      <c r="G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53" x14ac:dyDescent="0.25">
      <c r="B40" s="15"/>
      <c r="C40" s="15"/>
      <c r="D40" s="15"/>
      <c r="E40" s="15"/>
      <c r="F40" s="15"/>
      <c r="G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53" x14ac:dyDescent="0.25">
      <c r="B41" s="375" t="s">
        <v>150</v>
      </c>
      <c r="C41" s="375"/>
      <c r="D41" s="375"/>
      <c r="E41" s="375"/>
      <c r="F41" s="354" t="s">
        <v>144</v>
      </c>
      <c r="G41" s="354"/>
      <c r="H41" s="354"/>
      <c r="I41" s="354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53" x14ac:dyDescent="0.25">
      <c r="B42" s="372" t="s">
        <v>33</v>
      </c>
      <c r="C42" s="48" t="s">
        <v>32</v>
      </c>
      <c r="D42" s="167" t="s">
        <v>145</v>
      </c>
      <c r="E42" s="167" t="s">
        <v>9</v>
      </c>
      <c r="F42" s="184" t="s">
        <v>32</v>
      </c>
      <c r="G42" s="184" t="s">
        <v>146</v>
      </c>
      <c r="H42" s="186" t="s">
        <v>9</v>
      </c>
      <c r="I42" s="169" t="s">
        <v>147</v>
      </c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53" x14ac:dyDescent="0.25">
      <c r="B43" s="372"/>
      <c r="C43" s="167" t="s">
        <v>34</v>
      </c>
      <c r="D43" s="167" t="s">
        <v>34</v>
      </c>
      <c r="E43" s="167" t="s">
        <v>34</v>
      </c>
      <c r="F43" s="184" t="s">
        <v>155</v>
      </c>
      <c r="G43" s="184" t="s">
        <v>155</v>
      </c>
      <c r="H43" s="184" t="s">
        <v>158</v>
      </c>
      <c r="I43" s="184" t="s">
        <v>155</v>
      </c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53" x14ac:dyDescent="0.25">
      <c r="B44" s="49" t="s">
        <v>5</v>
      </c>
      <c r="C44" s="180">
        <v>0.51</v>
      </c>
      <c r="D44" s="180">
        <v>1.9400000000000001E-2</v>
      </c>
      <c r="E44" s="180">
        <v>47.1</v>
      </c>
      <c r="F44" s="185">
        <f>C44*(365*24*$D$39)/1000^2</f>
        <v>3.7974599999999999E-3</v>
      </c>
      <c r="G44" s="185">
        <f>(D44*(365*24*$D$39)/2)/1000^2</f>
        <v>7.222620000000001E-5</v>
      </c>
      <c r="H44" s="185">
        <f>E44/1000^2</f>
        <v>4.71E-5</v>
      </c>
      <c r="I44" s="185">
        <f>(D44*(365*24*$D$39)/2)/1000^2</f>
        <v>7.222620000000001E-5</v>
      </c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53" x14ac:dyDescent="0.25">
      <c r="B45" s="49" t="s">
        <v>7</v>
      </c>
      <c r="C45" s="180">
        <v>1.8199999999999999E-5</v>
      </c>
      <c r="D45" s="180">
        <v>4.8299999999999997E-7</v>
      </c>
      <c r="E45" s="180">
        <v>2.39E-6</v>
      </c>
      <c r="F45" s="185">
        <f t="shared" ref="F45:F46" si="5">C45*(365*24*$D$39)/1000^2</f>
        <v>1.3551719999999997E-7</v>
      </c>
      <c r="G45" s="185">
        <f t="shared" ref="G45:G46" si="6">(D45*(365*24*$D$39)/2)/1000^2</f>
        <v>1.7982089999999998E-9</v>
      </c>
      <c r="H45" s="185">
        <f t="shared" ref="H45:H46" si="7">E45/1000^2</f>
        <v>2.3900000000000001E-12</v>
      </c>
      <c r="I45" s="185">
        <f t="shared" ref="I45:I46" si="8">(D45*(365*24*$D$39)/2)/1000^2</f>
        <v>1.7982089999999998E-9</v>
      </c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53" x14ac:dyDescent="0.25">
      <c r="B46" s="49" t="s">
        <v>6</v>
      </c>
      <c r="C46" s="180">
        <v>4.57E-4</v>
      </c>
      <c r="D46" s="180">
        <v>2.0599999999999999E-5</v>
      </c>
      <c r="E46" s="180">
        <v>8.7600000000000008E-6</v>
      </c>
      <c r="F46" s="185">
        <f t="shared" si="5"/>
        <v>3.402822E-6</v>
      </c>
      <c r="G46" s="185">
        <f t="shared" si="6"/>
        <v>7.6693799999999988E-8</v>
      </c>
      <c r="H46" s="185">
        <f t="shared" si="7"/>
        <v>8.7600000000000006E-12</v>
      </c>
      <c r="I46" s="185">
        <f t="shared" si="8"/>
        <v>7.6693799999999988E-8</v>
      </c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53" x14ac:dyDescent="0.25">
      <c r="B47" s="15" t="s">
        <v>148</v>
      </c>
      <c r="C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53" x14ac:dyDescent="0.25">
      <c r="B48" s="15"/>
      <c r="C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53" s="30" customFormat="1" x14ac:dyDescent="0.25">
      <c r="A49" s="28"/>
      <c r="B49" s="29" t="s">
        <v>160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</row>
    <row r="50" spans="1:53" x14ac:dyDescent="0.25">
      <c r="B50" s="15"/>
      <c r="C50" s="15"/>
      <c r="D50" s="15"/>
      <c r="E50" s="15"/>
      <c r="F50" s="15"/>
      <c r="G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53" x14ac:dyDescent="0.25">
      <c r="B51" s="15" t="s">
        <v>161</v>
      </c>
      <c r="C51" s="15"/>
      <c r="D51" s="15"/>
      <c r="E51" s="15"/>
      <c r="F51" s="15"/>
      <c r="G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53" x14ac:dyDescent="0.25">
      <c r="B52" s="67" t="s">
        <v>182</v>
      </c>
      <c r="C52" s="67">
        <v>25</v>
      </c>
      <c r="D52" s="15"/>
      <c r="E52" s="15"/>
      <c r="F52" s="15"/>
      <c r="G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53" x14ac:dyDescent="0.25">
      <c r="B53" s="18" t="s">
        <v>187</v>
      </c>
      <c r="C53" s="15">
        <v>948</v>
      </c>
      <c r="D53" s="15"/>
      <c r="E53" s="15"/>
      <c r="F53" s="15"/>
      <c r="G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53" x14ac:dyDescent="0.25">
      <c r="B54" s="223" t="s">
        <v>174</v>
      </c>
      <c r="C54" s="224">
        <f>C52*fuel_energy_per_mass/C53</f>
        <v>1.302652953586498E-3</v>
      </c>
      <c r="D54" s="15"/>
      <c r="E54" s="15"/>
      <c r="F54" s="15"/>
      <c r="G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53" x14ac:dyDescent="0.25">
      <c r="B55" s="18" t="s">
        <v>184</v>
      </c>
      <c r="C55" s="131"/>
      <c r="D55" s="15"/>
      <c r="E55" s="15"/>
      <c r="F55" s="15"/>
      <c r="G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53" x14ac:dyDescent="0.25">
      <c r="B56" s="15"/>
      <c r="C56" s="15"/>
      <c r="D56" s="15"/>
      <c r="E56" s="15"/>
      <c r="F56" s="15"/>
      <c r="G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53" s="30" customFormat="1" x14ac:dyDescent="0.25">
      <c r="A57" s="28"/>
      <c r="B57" s="29" t="s">
        <v>189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</row>
    <row r="58" spans="1:53" x14ac:dyDescent="0.25">
      <c r="C58" s="15"/>
      <c r="D58" s="15"/>
      <c r="E58" s="15"/>
      <c r="F58" s="15"/>
      <c r="G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53" x14ac:dyDescent="0.25">
      <c r="B59" s="373" t="s">
        <v>185</v>
      </c>
      <c r="C59" s="373"/>
      <c r="D59" s="15"/>
      <c r="E59" s="15"/>
      <c r="F59" s="15"/>
      <c r="G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53" x14ac:dyDescent="0.25">
      <c r="B60" s="214" t="s">
        <v>133</v>
      </c>
      <c r="C60" s="214" t="s">
        <v>157</v>
      </c>
      <c r="D60" s="15"/>
      <c r="E60" s="172"/>
      <c r="F60" s="116"/>
      <c r="G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  <row r="61" spans="1:53" x14ac:dyDescent="0.25">
      <c r="B61" t="s">
        <v>186</v>
      </c>
      <c r="C61" s="15"/>
      <c r="D61" s="15"/>
      <c r="E61" s="15"/>
      <c r="F61" s="15"/>
      <c r="G61" s="15"/>
      <c r="N61" s="15"/>
      <c r="O61" s="15"/>
      <c r="P61" s="15"/>
      <c r="Q61" s="15"/>
      <c r="R61" s="15"/>
      <c r="S61" s="15"/>
      <c r="T61" s="15"/>
      <c r="U61" s="15"/>
      <c r="V61" s="15"/>
      <c r="W61" s="15"/>
    </row>
    <row r="62" spans="1:53" x14ac:dyDescent="0.25">
      <c r="C62" s="15"/>
      <c r="D62" s="15"/>
      <c r="E62" s="15"/>
      <c r="F62" s="15"/>
      <c r="G62" s="15"/>
      <c r="N62" s="15"/>
      <c r="O62" s="15"/>
      <c r="P62" s="15"/>
      <c r="Q62" s="15"/>
      <c r="R62" s="15"/>
      <c r="S62" s="15"/>
      <c r="T62" s="15"/>
      <c r="U62" s="15"/>
      <c r="V62" s="15"/>
      <c r="W62" s="15"/>
    </row>
    <row r="63" spans="1:53" s="30" customFormat="1" x14ac:dyDescent="0.25">
      <c r="A63" s="28"/>
      <c r="B63" s="29" t="s">
        <v>188</v>
      </c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</row>
    <row r="65" spans="1:53" x14ac:dyDescent="0.25">
      <c r="B65" s="374" t="s">
        <v>125</v>
      </c>
      <c r="C65" s="374"/>
    </row>
    <row r="66" spans="1:53" x14ac:dyDescent="0.25">
      <c r="B66" s="49" t="s">
        <v>123</v>
      </c>
      <c r="C66" s="153">
        <v>34</v>
      </c>
      <c r="G66" s="128"/>
      <c r="H66" s="128"/>
    </row>
    <row r="67" spans="1:53" x14ac:dyDescent="0.25">
      <c r="B67" s="49" t="s">
        <v>124</v>
      </c>
      <c r="C67" s="153">
        <v>298</v>
      </c>
    </row>
    <row r="69" spans="1:53" s="30" customFormat="1" x14ac:dyDescent="0.25">
      <c r="A69" s="28"/>
      <c r="B69" s="29" t="s">
        <v>193</v>
      </c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</row>
    <row r="71" spans="1:53" x14ac:dyDescent="0.25">
      <c r="B71" s="222" t="s">
        <v>0</v>
      </c>
      <c r="C71" s="222">
        <v>2017</v>
      </c>
      <c r="D71" s="222">
        <v>2018</v>
      </c>
      <c r="E71" s="222">
        <v>2019</v>
      </c>
      <c r="F71" s="222">
        <v>2020</v>
      </c>
      <c r="G71" s="222">
        <v>2021</v>
      </c>
      <c r="H71" s="222">
        <v>2022</v>
      </c>
      <c r="I71" s="222">
        <v>2023</v>
      </c>
      <c r="J71" s="222">
        <v>2024</v>
      </c>
      <c r="K71" s="222">
        <v>2025</v>
      </c>
      <c r="L71" s="222">
        <v>2026</v>
      </c>
      <c r="M71" s="222">
        <v>2027</v>
      </c>
      <c r="N71" s="222">
        <v>2028</v>
      </c>
      <c r="O71" s="222">
        <v>2029</v>
      </c>
      <c r="P71" s="222">
        <v>2030</v>
      </c>
      <c r="Q71" s="222">
        <v>2031</v>
      </c>
      <c r="R71" s="222">
        <v>2032</v>
      </c>
      <c r="S71" s="222">
        <v>2033</v>
      </c>
      <c r="T71" s="222">
        <v>2034</v>
      </c>
      <c r="U71" s="222">
        <v>2035</v>
      </c>
      <c r="V71" s="222">
        <v>2036</v>
      </c>
      <c r="W71" s="222">
        <v>2037</v>
      </c>
      <c r="X71" s="222">
        <v>2038</v>
      </c>
      <c r="Y71" s="222">
        <v>2039</v>
      </c>
      <c r="Z71" s="222">
        <v>2040</v>
      </c>
      <c r="AA71" s="222">
        <v>2041</v>
      </c>
      <c r="AB71" s="222">
        <v>2042</v>
      </c>
      <c r="AC71" s="222">
        <v>2043</v>
      </c>
      <c r="AD71" s="222">
        <v>2044</v>
      </c>
      <c r="AE71" s="222">
        <v>2045</v>
      </c>
      <c r="AF71" s="222">
        <v>2046</v>
      </c>
      <c r="AG71" s="222">
        <v>2047</v>
      </c>
      <c r="AH71" s="222">
        <v>2048</v>
      </c>
      <c r="AI71" s="222">
        <v>2049</v>
      </c>
      <c r="AJ71" s="222">
        <v>2050</v>
      </c>
    </row>
    <row r="72" spans="1:53" x14ac:dyDescent="0.25">
      <c r="B72" s="215" t="s">
        <v>5</v>
      </c>
      <c r="C72" s="215"/>
      <c r="D72" s="215"/>
      <c r="E72" s="215"/>
      <c r="F72" s="215"/>
      <c r="G72" s="215"/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</row>
    <row r="73" spans="1:53" s="30" customFormat="1" x14ac:dyDescent="0.25">
      <c r="A73"/>
      <c r="B73" s="67" t="s">
        <v>164</v>
      </c>
      <c r="C73" s="129">
        <f>IF('Life Cycle Assessment Data'!$C$60="Match capital spending",'Life Cycle Assessment Data'!$F$29*'Techno-Economic Analysis'!$C$93,'Life Cycle Assessment Data'!$F$29*1/3)</f>
        <v>9.1834000000000013E-4</v>
      </c>
      <c r="D73" s="129">
        <f>IF('Life Cycle Assessment Data'!$C$60="Match capital spending",'Life Cycle Assessment Data'!$F$29*'Techno-Economic Analysis'!$C$94,'Life Cycle Assessment Data'!$F$29*1/3)</f>
        <v>9.1834000000000013E-4</v>
      </c>
      <c r="E73" s="129">
        <f>IF('Life Cycle Assessment Data'!$C$60="Match capital spending",'Life Cycle Assessment Data'!$F$29*'Techno-Economic Analysis'!$C$95,'Life Cycle Assessment Data'!$F$29*1/3)</f>
        <v>9.1834000000000013E-4</v>
      </c>
      <c r="F73" s="129">
        <v>0</v>
      </c>
      <c r="G73" s="129">
        <v>0</v>
      </c>
      <c r="H73" s="129">
        <v>0</v>
      </c>
      <c r="I73" s="129">
        <v>0</v>
      </c>
      <c r="J73" s="129">
        <v>0</v>
      </c>
      <c r="K73" s="129">
        <v>0</v>
      </c>
      <c r="L73" s="129">
        <v>0</v>
      </c>
      <c r="M73" s="129">
        <v>0</v>
      </c>
      <c r="N73" s="129">
        <v>0</v>
      </c>
      <c r="O73" s="129">
        <v>0</v>
      </c>
      <c r="P73" s="129">
        <v>0</v>
      </c>
      <c r="Q73" s="129">
        <v>0</v>
      </c>
      <c r="R73" s="129">
        <v>0</v>
      </c>
      <c r="S73" s="129">
        <v>0</v>
      </c>
      <c r="T73" s="129">
        <v>0</v>
      </c>
      <c r="U73" s="129">
        <v>0</v>
      </c>
      <c r="V73" s="129">
        <v>0</v>
      </c>
      <c r="W73" s="129">
        <v>0</v>
      </c>
      <c r="X73" s="129">
        <v>0</v>
      </c>
      <c r="Y73" s="129">
        <v>0</v>
      </c>
      <c r="Z73" s="129">
        <v>0</v>
      </c>
      <c r="AA73" s="129">
        <v>0</v>
      </c>
      <c r="AB73" s="129">
        <v>0</v>
      </c>
      <c r="AC73" s="129">
        <v>0</v>
      </c>
      <c r="AD73" s="129">
        <v>0</v>
      </c>
      <c r="AE73" s="129">
        <v>0</v>
      </c>
      <c r="AF73" s="129">
        <v>0</v>
      </c>
      <c r="AG73" s="129">
        <v>0</v>
      </c>
      <c r="AH73" s="129">
        <v>0</v>
      </c>
      <c r="AI73" s="129">
        <v>0</v>
      </c>
      <c r="AJ73" s="129">
        <v>0</v>
      </c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s="30" customFormat="1" x14ac:dyDescent="0.25">
      <c r="A74"/>
      <c r="B74" s="18" t="s">
        <v>165</v>
      </c>
      <c r="C74" s="130">
        <v>0</v>
      </c>
      <c r="D74" s="130">
        <v>0</v>
      </c>
      <c r="E74" s="130">
        <f>+'Life Cycle Assessment Data'!$G$29</f>
        <v>5.5844999999999998E-5</v>
      </c>
      <c r="F74" s="130">
        <v>0</v>
      </c>
      <c r="G74" s="130">
        <v>0</v>
      </c>
      <c r="H74" s="130">
        <v>0</v>
      </c>
      <c r="I74" s="130">
        <v>0</v>
      </c>
      <c r="J74" s="130">
        <v>0</v>
      </c>
      <c r="K74" s="130">
        <v>0</v>
      </c>
      <c r="L74" s="130">
        <v>0</v>
      </c>
      <c r="M74" s="130">
        <v>0</v>
      </c>
      <c r="N74" s="130">
        <v>0</v>
      </c>
      <c r="O74" s="130">
        <v>0</v>
      </c>
      <c r="P74" s="130">
        <v>0</v>
      </c>
      <c r="Q74" s="130">
        <v>0</v>
      </c>
      <c r="R74" s="130">
        <v>0</v>
      </c>
      <c r="S74" s="130">
        <v>0</v>
      </c>
      <c r="T74" s="130">
        <v>0</v>
      </c>
      <c r="U74" s="130">
        <v>0</v>
      </c>
      <c r="V74" s="130">
        <v>0</v>
      </c>
      <c r="W74" s="130">
        <v>0</v>
      </c>
      <c r="X74" s="130">
        <v>0</v>
      </c>
      <c r="Y74" s="130">
        <v>0</v>
      </c>
      <c r="Z74" s="130">
        <v>0</v>
      </c>
      <c r="AA74" s="130">
        <v>0</v>
      </c>
      <c r="AB74" s="130">
        <v>0</v>
      </c>
      <c r="AC74" s="130">
        <v>0</v>
      </c>
      <c r="AD74" s="130">
        <v>0</v>
      </c>
      <c r="AE74" s="130">
        <v>0</v>
      </c>
      <c r="AF74" s="130">
        <v>0</v>
      </c>
      <c r="AG74" s="130">
        <v>0</v>
      </c>
      <c r="AH74" s="130">
        <v>0</v>
      </c>
      <c r="AI74" s="130">
        <v>0</v>
      </c>
      <c r="AJ74" s="130">
        <f>'Life Cycle Assessment Data'!$I$29</f>
        <v>5.5844999999999998E-5</v>
      </c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s="30" customFormat="1" x14ac:dyDescent="0.25">
      <c r="A75"/>
      <c r="B75" s="18" t="s">
        <v>166</v>
      </c>
      <c r="C75" s="130">
        <f>IF(C71=year_of_decision,'Life Cycle Assessment Data'!$F$44-'Life Cycle Assessment Data'!$F$29,0)</f>
        <v>0</v>
      </c>
      <c r="D75" s="130">
        <f>IF(D71=year_of_decision,'Life Cycle Assessment Data'!$F$44-'Life Cycle Assessment Data'!$F$29,0)</f>
        <v>0</v>
      </c>
      <c r="E75" s="130">
        <f>IF(E71=year_of_decision,'Life Cycle Assessment Data'!$F$44-'Life Cycle Assessment Data'!$F$29,0)</f>
        <v>0</v>
      </c>
      <c r="F75" s="130">
        <f>IF(F71=year_of_decision,'Life Cycle Assessment Data'!$F$44-'Life Cycle Assessment Data'!$F$29,0)</f>
        <v>0</v>
      </c>
      <c r="G75" s="130">
        <f>IF(G71=year_of_decision,'Life Cycle Assessment Data'!$F$44-'Life Cycle Assessment Data'!$F$29,0)</f>
        <v>0</v>
      </c>
      <c r="H75" s="130">
        <f>IF(H71=year_of_decision,'Life Cycle Assessment Data'!$F$44-'Life Cycle Assessment Data'!$F$29,0)</f>
        <v>0</v>
      </c>
      <c r="I75" s="130">
        <f>IF(I71=year_of_decision,'Life Cycle Assessment Data'!$F$44-'Life Cycle Assessment Data'!$F$29,0)</f>
        <v>0</v>
      </c>
      <c r="J75" s="130">
        <f>IF(J71=year_of_decision,'Life Cycle Assessment Data'!$F$44-'Life Cycle Assessment Data'!$F$29,0)</f>
        <v>0</v>
      </c>
      <c r="K75" s="130">
        <f>IF(K71=year_of_decision,'Life Cycle Assessment Data'!$F$44-'Life Cycle Assessment Data'!$F$29,0)</f>
        <v>1.0424399999999995E-3</v>
      </c>
      <c r="L75" s="130">
        <f>IF(L71=year_of_decision,'Life Cycle Assessment Data'!$F$44-'Life Cycle Assessment Data'!$F$29,0)</f>
        <v>0</v>
      </c>
      <c r="M75" s="130">
        <f>IF(M71=year_of_decision,'Life Cycle Assessment Data'!$F$44-'Life Cycle Assessment Data'!$F$29,0)</f>
        <v>0</v>
      </c>
      <c r="N75" s="130">
        <f>IF(N71=year_of_decision,'Life Cycle Assessment Data'!$F$44-'Life Cycle Assessment Data'!$F$29,0)</f>
        <v>0</v>
      </c>
      <c r="O75" s="130">
        <f>IF(O71=year_of_decision,'Life Cycle Assessment Data'!$F$44-'Life Cycle Assessment Data'!$F$29,0)</f>
        <v>0</v>
      </c>
      <c r="P75" s="130">
        <f>IF(P71=year_of_decision,'Life Cycle Assessment Data'!$F$44-'Life Cycle Assessment Data'!$F$29,0)</f>
        <v>0</v>
      </c>
      <c r="Q75" s="130">
        <f>IF(Q71=year_of_decision,'Life Cycle Assessment Data'!$F$44-'Life Cycle Assessment Data'!$F$29,0)</f>
        <v>0</v>
      </c>
      <c r="R75" s="130">
        <f>IF(R71=year_of_decision,'Life Cycle Assessment Data'!$F$44-'Life Cycle Assessment Data'!$F$29,0)</f>
        <v>0</v>
      </c>
      <c r="S75" s="130">
        <f>IF(S71=year_of_decision,'Life Cycle Assessment Data'!$F$44-'Life Cycle Assessment Data'!$F$29,0)</f>
        <v>0</v>
      </c>
      <c r="T75" s="130">
        <f>IF(T71=year_of_decision,'Life Cycle Assessment Data'!$F$44-'Life Cycle Assessment Data'!$F$29,0)</f>
        <v>0</v>
      </c>
      <c r="U75" s="130">
        <f>IF(U71=year_of_decision,'Life Cycle Assessment Data'!$F$44-'Life Cycle Assessment Data'!$F$29,0)</f>
        <v>0</v>
      </c>
      <c r="V75" s="130">
        <f>IF(V71=year_of_decision,'Life Cycle Assessment Data'!$F$44-'Life Cycle Assessment Data'!$F$29,0)</f>
        <v>0</v>
      </c>
      <c r="W75" s="130">
        <f>IF(W71=year_of_decision,'Life Cycle Assessment Data'!$F$44-'Life Cycle Assessment Data'!$F$29,0)</f>
        <v>0</v>
      </c>
      <c r="X75" s="130">
        <f>IF(X71=year_of_decision,'Life Cycle Assessment Data'!$F$44-'Life Cycle Assessment Data'!$F$29,0)</f>
        <v>0</v>
      </c>
      <c r="Y75" s="130">
        <f>IF(Y71=year_of_decision,'Life Cycle Assessment Data'!$F$44-'Life Cycle Assessment Data'!$F$29,0)</f>
        <v>0</v>
      </c>
      <c r="Z75" s="130">
        <f>IF(Z71=year_of_decision,'Life Cycle Assessment Data'!$F$44-'Life Cycle Assessment Data'!$F$29,0)</f>
        <v>0</v>
      </c>
      <c r="AA75" s="130">
        <f>IF(AA71=year_of_decision,'Life Cycle Assessment Data'!$F$44-'Life Cycle Assessment Data'!$F$29,0)</f>
        <v>0</v>
      </c>
      <c r="AB75" s="130">
        <f>IF(AB71=year_of_decision,'Life Cycle Assessment Data'!$F$44-'Life Cycle Assessment Data'!$F$29,0)</f>
        <v>0</v>
      </c>
      <c r="AC75" s="130">
        <f>IF(AC71=year_of_decision,'Life Cycle Assessment Data'!$F$44-'Life Cycle Assessment Data'!$F$29,0)</f>
        <v>0</v>
      </c>
      <c r="AD75" s="130">
        <f>IF(AD71=year_of_decision,'Life Cycle Assessment Data'!$F$44-'Life Cycle Assessment Data'!$F$29,0)</f>
        <v>0</v>
      </c>
      <c r="AE75" s="130">
        <f>IF(AE71=year_of_decision,'Life Cycle Assessment Data'!$F$44-'Life Cycle Assessment Data'!$F$29,0)</f>
        <v>0</v>
      </c>
      <c r="AF75" s="130">
        <f>IF(AF71=year_of_decision,'Life Cycle Assessment Data'!$F$44-'Life Cycle Assessment Data'!$F$29,0)</f>
        <v>0</v>
      </c>
      <c r="AG75" s="130">
        <f>IF(AG71=year_of_decision,'Life Cycle Assessment Data'!$F$44-'Life Cycle Assessment Data'!$F$29,0)</f>
        <v>0</v>
      </c>
      <c r="AH75" s="130">
        <f>IF(AH71=year_of_decision,'Life Cycle Assessment Data'!$F$44-'Life Cycle Assessment Data'!$F$29,0)</f>
        <v>0</v>
      </c>
      <c r="AI75" s="130">
        <f>IF(AI71=year_of_decision,'Life Cycle Assessment Data'!$F$44-'Life Cycle Assessment Data'!$F$29,0)</f>
        <v>0</v>
      </c>
      <c r="AJ75" s="130">
        <f>IF(AJ71=year_of_decision,'Life Cycle Assessment Data'!$F$44-'Life Cycle Assessment Data'!$F$29,0)</f>
        <v>0</v>
      </c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s="30" customFormat="1" x14ac:dyDescent="0.25">
      <c r="A76"/>
      <c r="B76" s="18" t="s">
        <v>167</v>
      </c>
      <c r="C76" s="130">
        <f>IF(C71=year_of_decision,'Life Cycle Assessment Data'!$G$44-'Life Cycle Assessment Data'!$G$29,0)</f>
        <v>0</v>
      </c>
      <c r="D76" s="130">
        <f>IF(D71=year_of_decision,'Life Cycle Assessment Data'!$G$44-'Life Cycle Assessment Data'!$G$29,0)</f>
        <v>0</v>
      </c>
      <c r="E76" s="130">
        <f>IF(E71=year_of_decision,'Life Cycle Assessment Data'!$G$44-'Life Cycle Assessment Data'!$G$29,0)</f>
        <v>0</v>
      </c>
      <c r="F76" s="130">
        <f>IF(F71=year_of_decision,'Life Cycle Assessment Data'!$G$44-'Life Cycle Assessment Data'!$G$29,0)</f>
        <v>0</v>
      </c>
      <c r="G76" s="130">
        <f>IF(G71=year_of_decision,'Life Cycle Assessment Data'!$G$44-'Life Cycle Assessment Data'!$G$29,0)</f>
        <v>0</v>
      </c>
      <c r="H76" s="130">
        <f>IF(H71=year_of_decision,'Life Cycle Assessment Data'!$G$44-'Life Cycle Assessment Data'!$G$29,0)</f>
        <v>0</v>
      </c>
      <c r="I76" s="130">
        <f>IF(I71=year_of_decision,'Life Cycle Assessment Data'!$G$44-'Life Cycle Assessment Data'!$G$29,0)</f>
        <v>0</v>
      </c>
      <c r="J76" s="130">
        <f>IF(J71=year_of_decision,'Life Cycle Assessment Data'!$G$44-'Life Cycle Assessment Data'!$G$29,0)</f>
        <v>0</v>
      </c>
      <c r="K76" s="130">
        <f>IF(K71=year_of_decision,'Life Cycle Assessment Data'!$G$44-'Life Cycle Assessment Data'!$G$29,0)</f>
        <v>1.6381200000000012E-5</v>
      </c>
      <c r="L76" s="130">
        <f>IF(L71=year_of_decision,'Life Cycle Assessment Data'!$G$44-'Life Cycle Assessment Data'!$G$29,0)</f>
        <v>0</v>
      </c>
      <c r="M76" s="130">
        <f>IF(M71=year_of_decision,'Life Cycle Assessment Data'!$G$44-'Life Cycle Assessment Data'!$G$29,0)</f>
        <v>0</v>
      </c>
      <c r="N76" s="130">
        <f>IF(N71=year_of_decision,'Life Cycle Assessment Data'!$G$44-'Life Cycle Assessment Data'!$G$29,0)</f>
        <v>0</v>
      </c>
      <c r="O76" s="130">
        <f>IF(O71=year_of_decision,'Life Cycle Assessment Data'!$G$44-'Life Cycle Assessment Data'!$G$29,0)</f>
        <v>0</v>
      </c>
      <c r="P76" s="130">
        <f>IF(P71=year_of_decision,'Life Cycle Assessment Data'!$G$44-'Life Cycle Assessment Data'!$G$29,0)</f>
        <v>0</v>
      </c>
      <c r="Q76" s="130">
        <f>IF(Q71=year_of_decision,'Life Cycle Assessment Data'!$G$44-'Life Cycle Assessment Data'!$G$29,0)</f>
        <v>0</v>
      </c>
      <c r="R76" s="130">
        <f>IF(R71=year_of_decision,'Life Cycle Assessment Data'!$G$44-'Life Cycle Assessment Data'!$G$29,0)</f>
        <v>0</v>
      </c>
      <c r="S76" s="130">
        <f>IF(S71=year_of_decision,'Life Cycle Assessment Data'!$G$44-'Life Cycle Assessment Data'!$G$29,0)</f>
        <v>0</v>
      </c>
      <c r="T76" s="130">
        <f>IF(T71=year_of_decision,'Life Cycle Assessment Data'!$G$44-'Life Cycle Assessment Data'!$G$29,0)</f>
        <v>0</v>
      </c>
      <c r="U76" s="130">
        <f>IF(U71=year_of_decision,'Life Cycle Assessment Data'!$G$44-'Life Cycle Assessment Data'!$G$29,0)</f>
        <v>0</v>
      </c>
      <c r="V76" s="130">
        <f>IF(V71=year_of_decision,'Life Cycle Assessment Data'!$G$44-'Life Cycle Assessment Data'!$G$29,0)</f>
        <v>0</v>
      </c>
      <c r="W76" s="130">
        <f>IF(W71=year_of_decision,'Life Cycle Assessment Data'!$G$44-'Life Cycle Assessment Data'!$G$29,0)</f>
        <v>0</v>
      </c>
      <c r="X76" s="130">
        <f>IF(X71=year_of_decision,'Life Cycle Assessment Data'!$G$44-'Life Cycle Assessment Data'!$G$29,0)</f>
        <v>0</v>
      </c>
      <c r="Y76" s="130">
        <f>IF(Y71=year_of_decision,'Life Cycle Assessment Data'!$G$44-'Life Cycle Assessment Data'!$G$29,0)</f>
        <v>0</v>
      </c>
      <c r="Z76" s="130">
        <f>IF(Z71=year_of_decision,'Life Cycle Assessment Data'!$G$44-'Life Cycle Assessment Data'!$G$29,0)</f>
        <v>0</v>
      </c>
      <c r="AA76" s="130">
        <f>IF(AA71=year_of_decision,'Life Cycle Assessment Data'!$G$44-'Life Cycle Assessment Data'!$G$29,0)</f>
        <v>0</v>
      </c>
      <c r="AB76" s="130">
        <f>IF(AB71=year_of_decision,'Life Cycle Assessment Data'!$G$44-'Life Cycle Assessment Data'!$G$29,0)</f>
        <v>0</v>
      </c>
      <c r="AC76" s="130">
        <f>IF(AC71=year_of_decision,'Life Cycle Assessment Data'!$G$44-'Life Cycle Assessment Data'!$G$29,0)</f>
        <v>0</v>
      </c>
      <c r="AD76" s="130">
        <f>IF(AD71=year_of_decision,'Life Cycle Assessment Data'!$G$44-'Life Cycle Assessment Data'!$G$29,0)</f>
        <v>0</v>
      </c>
      <c r="AE76" s="130">
        <f>IF(AE71=year_of_decision,'Life Cycle Assessment Data'!$G$44-'Life Cycle Assessment Data'!$G$29,0)</f>
        <v>0</v>
      </c>
      <c r="AF76" s="130">
        <f>IF(AF71=year_of_decision,'Life Cycle Assessment Data'!$G$44-'Life Cycle Assessment Data'!$G$29,0)</f>
        <v>0</v>
      </c>
      <c r="AG76" s="130">
        <f>IF(AG71=year_of_decision,'Life Cycle Assessment Data'!$G$44-'Life Cycle Assessment Data'!$G$29,0)</f>
        <v>0</v>
      </c>
      <c r="AH76" s="130">
        <f>IF(AH71=year_of_decision,'Life Cycle Assessment Data'!$G$44-'Life Cycle Assessment Data'!$G$29,0)</f>
        <v>0</v>
      </c>
      <c r="AI76" s="130">
        <f>IF(AI71=year_of_decision,'Life Cycle Assessment Data'!$G$44-'Life Cycle Assessment Data'!$G$29,0)</f>
        <v>0</v>
      </c>
      <c r="AJ76" s="130">
        <f>'Life Cycle Assessment Data'!$I$44-'Life Cycle Assessment Data'!$I$29</f>
        <v>1.6381200000000012E-5</v>
      </c>
      <c r="AK76" s="130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s="30" customFormat="1" x14ac:dyDescent="0.25">
      <c r="A77"/>
      <c r="B77" s="18" t="s">
        <v>178</v>
      </c>
      <c r="C77" s="130">
        <f>IF(year_of_decision=C71,'Life Cycle Assessment Data'!$I$29,0)</f>
        <v>0</v>
      </c>
      <c r="D77" s="130">
        <f>IF(year_of_decision=D71,'Life Cycle Assessment Data'!$I$29,0)</f>
        <v>0</v>
      </c>
      <c r="E77" s="130">
        <f>IF(year_of_decision=E71,'Life Cycle Assessment Data'!$I$29,0)</f>
        <v>0</v>
      </c>
      <c r="F77" s="130">
        <f>IF(year_of_decision=F71,'Life Cycle Assessment Data'!$I$29,0)</f>
        <v>0</v>
      </c>
      <c r="G77" s="130">
        <f>IF(year_of_decision=G71,'Life Cycle Assessment Data'!$I$29,0)</f>
        <v>0</v>
      </c>
      <c r="H77" s="130">
        <f>IF(year_of_decision=H71,'Life Cycle Assessment Data'!$I$29,0)</f>
        <v>0</v>
      </c>
      <c r="I77" s="130">
        <f>IF(year_of_decision=I71,'Life Cycle Assessment Data'!$I$29,0)</f>
        <v>0</v>
      </c>
      <c r="J77" s="130">
        <f>IF(year_of_decision=J71,'Life Cycle Assessment Data'!$I$29,0)</f>
        <v>0</v>
      </c>
      <c r="K77" s="130">
        <f>IF(year_of_decision=K71,'Life Cycle Assessment Data'!$I$29,0)</f>
        <v>5.5844999999999998E-5</v>
      </c>
      <c r="L77" s="130">
        <f>IF(year_of_decision=L71,'Life Cycle Assessment Data'!$I$29,0)</f>
        <v>0</v>
      </c>
      <c r="M77" s="130">
        <f>IF(year_of_decision=M71,'Life Cycle Assessment Data'!$I$29,0)</f>
        <v>0</v>
      </c>
      <c r="N77" s="130">
        <f>IF(year_of_decision=N71,'Life Cycle Assessment Data'!$I$29,0)</f>
        <v>0</v>
      </c>
      <c r="O77" s="130">
        <f>IF(year_of_decision=O71,'Life Cycle Assessment Data'!$I$29,0)</f>
        <v>0</v>
      </c>
      <c r="P77" s="130">
        <f>IF(year_of_decision=P71,'Life Cycle Assessment Data'!$I$29,0)</f>
        <v>0</v>
      </c>
      <c r="Q77" s="130">
        <f>IF(year_of_decision=Q71,'Life Cycle Assessment Data'!$I$29,0)</f>
        <v>0</v>
      </c>
      <c r="R77" s="130">
        <f>IF(year_of_decision=R71,'Life Cycle Assessment Data'!$I$29,0)</f>
        <v>0</v>
      </c>
      <c r="S77" s="130">
        <f>IF(year_of_decision=S71,'Life Cycle Assessment Data'!$I$29,0)</f>
        <v>0</v>
      </c>
      <c r="T77" s="130">
        <f>IF(year_of_decision=T71,'Life Cycle Assessment Data'!$I$29,0)</f>
        <v>0</v>
      </c>
      <c r="U77" s="130">
        <f>IF(year_of_decision=U71,'Life Cycle Assessment Data'!$I$29,0)</f>
        <v>0</v>
      </c>
      <c r="V77" s="130">
        <f>IF(year_of_decision=V71,'Life Cycle Assessment Data'!$I$29,0)</f>
        <v>0</v>
      </c>
      <c r="W77" s="130">
        <f>IF(year_of_decision=W71,'Life Cycle Assessment Data'!$I$29,0)</f>
        <v>0</v>
      </c>
      <c r="X77" s="130">
        <f>IF(year_of_decision=X71,'Life Cycle Assessment Data'!$I$29,0)</f>
        <v>0</v>
      </c>
      <c r="Y77" s="130">
        <f>IF(year_of_decision=Y71,'Life Cycle Assessment Data'!$I$29,0)</f>
        <v>0</v>
      </c>
      <c r="Z77" s="130">
        <f>IF(year_of_decision=Z71,'Life Cycle Assessment Data'!$I$29,0)</f>
        <v>0</v>
      </c>
      <c r="AA77" s="130">
        <f>IF(year_of_decision=AA71,'Life Cycle Assessment Data'!$I$29,0)</f>
        <v>0</v>
      </c>
      <c r="AB77" s="130">
        <f>IF(year_of_decision=AB71,'Life Cycle Assessment Data'!$I$29,0)</f>
        <v>0</v>
      </c>
      <c r="AC77" s="130">
        <f>IF(year_of_decision=AC71,'Life Cycle Assessment Data'!$I$29,0)</f>
        <v>0</v>
      </c>
      <c r="AD77" s="130">
        <f>IF(year_of_decision=AD71,'Life Cycle Assessment Data'!$I$29,0)</f>
        <v>0</v>
      </c>
      <c r="AE77" s="130">
        <f>IF(year_of_decision=AE71,'Life Cycle Assessment Data'!$I$29,0)</f>
        <v>0</v>
      </c>
      <c r="AF77" s="130">
        <f>IF(year_of_decision=AF71,'Life Cycle Assessment Data'!$I$29,0)</f>
        <v>0</v>
      </c>
      <c r="AG77" s="130">
        <f>IF(year_of_decision=AG71,'Life Cycle Assessment Data'!$I$29,0)</f>
        <v>0</v>
      </c>
      <c r="AH77" s="130">
        <f>IF(year_of_decision=AH71,'Life Cycle Assessment Data'!$I$29,0)</f>
        <v>0</v>
      </c>
      <c r="AI77" s="130">
        <f>IF(year_of_decision=AI71,'Life Cycle Assessment Data'!$I$29,0)</f>
        <v>0</v>
      </c>
      <c r="AJ77" s="130">
        <f>IF(year_of_decision=AJ71,'Life Cycle Assessment Data'!$I$29,0)</f>
        <v>0</v>
      </c>
      <c r="AK77" s="130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s="30" customFormat="1" x14ac:dyDescent="0.25">
      <c r="A78"/>
      <c r="B78" s="18" t="s">
        <v>176</v>
      </c>
      <c r="C78" s="130">
        <v>0</v>
      </c>
      <c r="D78" s="130">
        <v>0</v>
      </c>
      <c r="E78" s="130">
        <v>0</v>
      </c>
      <c r="F78" s="130">
        <f>('Life Cycle Assessment Data'!$K$14+'Life Cycle Assessment Data'!$J$14)*heat_rate/(fuel_energy_per_mass*1000)</f>
        <v>3.2074558370414159E-7</v>
      </c>
      <c r="G78" s="130">
        <f>('Life Cycle Assessment Data'!$K$14+'Life Cycle Assessment Data'!$J$14)*heat_rate/(fuel_energy_per_mass*1000)</f>
        <v>3.2074558370414159E-7</v>
      </c>
      <c r="H78" s="130">
        <f>('Life Cycle Assessment Data'!$K$14+'Life Cycle Assessment Data'!$J$14)*heat_rate/(fuel_energy_per_mass*1000)</f>
        <v>3.2074558370414159E-7</v>
      </c>
      <c r="I78" s="130">
        <f>('Life Cycle Assessment Data'!$K$14+'Life Cycle Assessment Data'!$J$14)*heat_rate/(fuel_energy_per_mass*1000)</f>
        <v>3.2074558370414159E-7</v>
      </c>
      <c r="J78" s="130">
        <f>('Life Cycle Assessment Data'!$K$14+'Life Cycle Assessment Data'!$J$14)*heat_rate/(fuel_energy_per_mass*1000)</f>
        <v>3.2074558370414159E-7</v>
      </c>
      <c r="K78" s="130">
        <f>('Life Cycle Assessment Data'!$K$14+'Life Cycle Assessment Data'!$J$14)*heat_rate/(fuel_energy_per_mass*1000)</f>
        <v>3.2074558370414159E-7</v>
      </c>
      <c r="L78" s="130">
        <f>('Life Cycle Assessment Data'!$K$14+'Life Cycle Assessment Data'!$J$14)*heat_rate/(fuel_energy_per_mass*1000)</f>
        <v>3.2074558370414159E-7</v>
      </c>
      <c r="M78" s="130">
        <f>('Life Cycle Assessment Data'!$K$14+'Life Cycle Assessment Data'!$J$14)*heat_rate/(fuel_energy_per_mass*1000)</f>
        <v>3.2074558370414159E-7</v>
      </c>
      <c r="N78" s="130">
        <f>('Life Cycle Assessment Data'!$K$14+'Life Cycle Assessment Data'!$J$14)*heat_rate/(fuel_energy_per_mass*1000)</f>
        <v>3.2074558370414159E-7</v>
      </c>
      <c r="O78" s="130">
        <f>('Life Cycle Assessment Data'!$K$14+'Life Cycle Assessment Data'!$J$14)*heat_rate/(fuel_energy_per_mass*1000)</f>
        <v>3.2074558370414159E-7</v>
      </c>
      <c r="P78" s="130">
        <f>('Life Cycle Assessment Data'!$K$14+'Life Cycle Assessment Data'!$J$14)*heat_rate/(fuel_energy_per_mass*1000)</f>
        <v>3.2074558370414159E-7</v>
      </c>
      <c r="Q78" s="130">
        <f>('Life Cycle Assessment Data'!$K$14+'Life Cycle Assessment Data'!$J$14)*heat_rate/(fuel_energy_per_mass*1000)</f>
        <v>3.2074558370414159E-7</v>
      </c>
      <c r="R78" s="130">
        <f>('Life Cycle Assessment Data'!$K$14+'Life Cycle Assessment Data'!$J$14)*heat_rate/(fuel_energy_per_mass*1000)</f>
        <v>3.2074558370414159E-7</v>
      </c>
      <c r="S78" s="130">
        <f>('Life Cycle Assessment Data'!$K$14+'Life Cycle Assessment Data'!$J$14)*heat_rate/(fuel_energy_per_mass*1000)</f>
        <v>3.2074558370414159E-7</v>
      </c>
      <c r="T78" s="130">
        <f>('Life Cycle Assessment Data'!$K$14+'Life Cycle Assessment Data'!$J$14)*heat_rate/(fuel_energy_per_mass*1000)</f>
        <v>3.2074558370414159E-7</v>
      </c>
      <c r="U78" s="130">
        <f>('Life Cycle Assessment Data'!$K$14+'Life Cycle Assessment Data'!$J$14)*heat_rate/(fuel_energy_per_mass*1000)</f>
        <v>3.2074558370414159E-7</v>
      </c>
      <c r="V78" s="130">
        <f>('Life Cycle Assessment Data'!$K$14+'Life Cycle Assessment Data'!$J$14)*heat_rate/(fuel_energy_per_mass*1000)</f>
        <v>3.2074558370414159E-7</v>
      </c>
      <c r="W78" s="130">
        <f>('Life Cycle Assessment Data'!$K$14+'Life Cycle Assessment Data'!$J$14)*heat_rate/(fuel_energy_per_mass*1000)</f>
        <v>3.2074558370414159E-7</v>
      </c>
      <c r="X78" s="130">
        <f>('Life Cycle Assessment Data'!$K$14+'Life Cycle Assessment Data'!$J$14)*heat_rate/(fuel_energy_per_mass*1000)</f>
        <v>3.2074558370414159E-7</v>
      </c>
      <c r="Y78" s="130">
        <f>('Life Cycle Assessment Data'!$K$14+'Life Cycle Assessment Data'!$J$14)*heat_rate/(fuel_energy_per_mass*1000)</f>
        <v>3.2074558370414159E-7</v>
      </c>
      <c r="Z78" s="130">
        <f>('Life Cycle Assessment Data'!$K$14+'Life Cycle Assessment Data'!$J$14)*heat_rate/(fuel_energy_per_mass*1000)</f>
        <v>3.2074558370414159E-7</v>
      </c>
      <c r="AA78" s="130">
        <f>('Life Cycle Assessment Data'!$K$14+'Life Cycle Assessment Data'!$J$14)*heat_rate/(fuel_energy_per_mass*1000)</f>
        <v>3.2074558370414159E-7</v>
      </c>
      <c r="AB78" s="130">
        <f>('Life Cycle Assessment Data'!$K$14+'Life Cycle Assessment Data'!$J$14)*heat_rate/(fuel_energy_per_mass*1000)</f>
        <v>3.2074558370414159E-7</v>
      </c>
      <c r="AC78" s="130">
        <f>('Life Cycle Assessment Data'!$K$14+'Life Cycle Assessment Data'!$J$14)*heat_rate/(fuel_energy_per_mass*1000)</f>
        <v>3.2074558370414159E-7</v>
      </c>
      <c r="AD78" s="130">
        <f>('Life Cycle Assessment Data'!$K$14+'Life Cycle Assessment Data'!$J$14)*heat_rate/(fuel_energy_per_mass*1000)</f>
        <v>3.2074558370414159E-7</v>
      </c>
      <c r="AE78" s="130">
        <f>('Life Cycle Assessment Data'!$K$14+'Life Cycle Assessment Data'!$J$14)*heat_rate/(fuel_energy_per_mass*1000)</f>
        <v>3.2074558370414159E-7</v>
      </c>
      <c r="AF78" s="130">
        <f>('Life Cycle Assessment Data'!$K$14+'Life Cycle Assessment Data'!$J$14)*heat_rate/(fuel_energy_per_mass*1000)</f>
        <v>3.2074558370414159E-7</v>
      </c>
      <c r="AG78" s="130">
        <f>('Life Cycle Assessment Data'!$K$14+'Life Cycle Assessment Data'!$J$14)*heat_rate/(fuel_energy_per_mass*1000)</f>
        <v>3.2074558370414159E-7</v>
      </c>
      <c r="AH78" s="130">
        <f>('Life Cycle Assessment Data'!$K$14+'Life Cycle Assessment Data'!$J$14)*heat_rate/(fuel_energy_per_mass*1000)</f>
        <v>3.2074558370414159E-7</v>
      </c>
      <c r="AI78" s="130">
        <f>('Life Cycle Assessment Data'!$K$14+'Life Cycle Assessment Data'!$J$14)*heat_rate/(fuel_energy_per_mass*1000)</f>
        <v>3.2074558370414159E-7</v>
      </c>
      <c r="AJ78" s="130">
        <f>('Life Cycle Assessment Data'!$K$14+'Life Cycle Assessment Data'!$J$14)*heat_rate/(fuel_energy_per_mass*1000)</f>
        <v>3.2074558370414159E-7</v>
      </c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s="30" customFormat="1" x14ac:dyDescent="0.25">
      <c r="A79"/>
      <c r="B79" s="18" t="s">
        <v>168</v>
      </c>
      <c r="C79" s="117">
        <v>0</v>
      </c>
      <c r="D79" s="117">
        <v>0</v>
      </c>
      <c r="E79" s="117">
        <v>0</v>
      </c>
      <c r="F79" s="117">
        <f>'Life Cycle Assessment Data'!$L$14*heat_rate/(fuel_energy_per_mass*1000)</f>
        <v>1.4749841082179744E-5</v>
      </c>
      <c r="G79" s="117">
        <f>'Life Cycle Assessment Data'!$L$14*heat_rate/(fuel_energy_per_mass*1000)</f>
        <v>1.4749841082179744E-5</v>
      </c>
      <c r="H79" s="117">
        <f>'Life Cycle Assessment Data'!$L$14*heat_rate/(fuel_energy_per_mass*1000)</f>
        <v>1.4749841082179744E-5</v>
      </c>
      <c r="I79" s="117">
        <f>'Life Cycle Assessment Data'!$L$14*heat_rate/(fuel_energy_per_mass*1000)</f>
        <v>1.4749841082179744E-5</v>
      </c>
      <c r="J79" s="117">
        <f>'Life Cycle Assessment Data'!$L$14*heat_rate/(fuel_energy_per_mass*1000)</f>
        <v>1.4749841082179744E-5</v>
      </c>
      <c r="K79" s="117">
        <f>'Life Cycle Assessment Data'!$L$14*heat_rate/(fuel_energy_per_mass*1000)</f>
        <v>1.4749841082179744E-5</v>
      </c>
      <c r="L79" s="117">
        <f>'Life Cycle Assessment Data'!$L$14*heat_rate/(fuel_energy_per_mass*1000)</f>
        <v>1.4749841082179744E-5</v>
      </c>
      <c r="M79" s="117">
        <f>'Life Cycle Assessment Data'!$L$14*heat_rate/(fuel_energy_per_mass*1000)</f>
        <v>1.4749841082179744E-5</v>
      </c>
      <c r="N79" s="117">
        <f>'Life Cycle Assessment Data'!$L$14*heat_rate/(fuel_energy_per_mass*1000)</f>
        <v>1.4749841082179744E-5</v>
      </c>
      <c r="O79" s="117">
        <f>'Life Cycle Assessment Data'!$L$14*heat_rate/(fuel_energy_per_mass*1000)</f>
        <v>1.4749841082179744E-5</v>
      </c>
      <c r="P79" s="117">
        <f>'Life Cycle Assessment Data'!$L$14*heat_rate/(fuel_energy_per_mass*1000)</f>
        <v>1.4749841082179744E-5</v>
      </c>
      <c r="Q79" s="117">
        <f>'Life Cycle Assessment Data'!$L$14*heat_rate/(fuel_energy_per_mass*1000)</f>
        <v>1.4749841082179744E-5</v>
      </c>
      <c r="R79" s="117">
        <f>'Life Cycle Assessment Data'!$L$14*heat_rate/(fuel_energy_per_mass*1000)</f>
        <v>1.4749841082179744E-5</v>
      </c>
      <c r="S79" s="117">
        <f>'Life Cycle Assessment Data'!$L$14*heat_rate/(fuel_energy_per_mass*1000)</f>
        <v>1.4749841082179744E-5</v>
      </c>
      <c r="T79" s="117">
        <f>'Life Cycle Assessment Data'!$L$14*heat_rate/(fuel_energy_per_mass*1000)</f>
        <v>1.4749841082179744E-5</v>
      </c>
      <c r="U79" s="117">
        <f>'Life Cycle Assessment Data'!$L$14*heat_rate/(fuel_energy_per_mass*1000)</f>
        <v>1.4749841082179744E-5</v>
      </c>
      <c r="V79" s="117">
        <f>'Life Cycle Assessment Data'!$L$14*heat_rate/(fuel_energy_per_mass*1000)</f>
        <v>1.4749841082179744E-5</v>
      </c>
      <c r="W79" s="117">
        <f>'Life Cycle Assessment Data'!$L$14*heat_rate/(fuel_energy_per_mass*1000)</f>
        <v>1.4749841082179744E-5</v>
      </c>
      <c r="X79" s="117">
        <f>'Life Cycle Assessment Data'!$L$14*heat_rate/(fuel_energy_per_mass*1000)</f>
        <v>1.4749841082179744E-5</v>
      </c>
      <c r="Y79" s="117">
        <f>'Life Cycle Assessment Data'!$L$14*heat_rate/(fuel_energy_per_mass*1000)</f>
        <v>1.4749841082179744E-5</v>
      </c>
      <c r="Z79" s="117">
        <f>'Life Cycle Assessment Data'!$L$14*heat_rate/(fuel_energy_per_mass*1000)</f>
        <v>1.4749841082179744E-5</v>
      </c>
      <c r="AA79" s="117">
        <f>'Life Cycle Assessment Data'!$L$14*heat_rate/(fuel_energy_per_mass*1000)</f>
        <v>1.4749841082179744E-5</v>
      </c>
      <c r="AB79" s="117">
        <f>'Life Cycle Assessment Data'!$L$14*heat_rate/(fuel_energy_per_mass*1000)</f>
        <v>1.4749841082179744E-5</v>
      </c>
      <c r="AC79" s="117">
        <f>'Life Cycle Assessment Data'!$L$14*heat_rate/(fuel_energy_per_mass*1000)</f>
        <v>1.4749841082179744E-5</v>
      </c>
      <c r="AD79" s="117">
        <f>'Life Cycle Assessment Data'!$L$14*heat_rate/(fuel_energy_per_mass*1000)</f>
        <v>1.4749841082179744E-5</v>
      </c>
      <c r="AE79" s="117">
        <f>'Life Cycle Assessment Data'!$L$14*heat_rate/(fuel_energy_per_mass*1000)</f>
        <v>1.4749841082179744E-5</v>
      </c>
      <c r="AF79" s="117">
        <f>'Life Cycle Assessment Data'!$L$14*heat_rate/(fuel_energy_per_mass*1000)</f>
        <v>1.4749841082179744E-5</v>
      </c>
      <c r="AG79" s="117">
        <f>'Life Cycle Assessment Data'!$L$14*heat_rate/(fuel_energy_per_mass*1000)</f>
        <v>1.4749841082179744E-5</v>
      </c>
      <c r="AH79" s="117">
        <f>'Life Cycle Assessment Data'!$L$14*heat_rate/(fuel_energy_per_mass*1000)</f>
        <v>1.4749841082179744E-5</v>
      </c>
      <c r="AI79" s="117">
        <f>'Life Cycle Assessment Data'!$L$14*heat_rate/(fuel_energy_per_mass*1000)</f>
        <v>1.4749841082179744E-5</v>
      </c>
      <c r="AJ79" s="117">
        <f>'Life Cycle Assessment Data'!$L$14*heat_rate/(fuel_energy_per_mass*1000)</f>
        <v>1.4749841082179744E-5</v>
      </c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s="30" customFormat="1" x14ac:dyDescent="0.25">
      <c r="A80"/>
      <c r="B80" s="18" t="s">
        <v>318</v>
      </c>
      <c r="C80" s="117">
        <f t="shared" ref="C80:AJ80" si="9">C78*heat_rate_CCS/heat_rate</f>
        <v>0</v>
      </c>
      <c r="D80" s="117">
        <f t="shared" si="9"/>
        <v>0</v>
      </c>
      <c r="E80" s="117">
        <f t="shared" si="9"/>
        <v>0</v>
      </c>
      <c r="F80" s="117">
        <f t="shared" si="9"/>
        <v>3.7445182097553272E-7</v>
      </c>
      <c r="G80" s="117">
        <f t="shared" si="9"/>
        <v>3.7445182097553272E-7</v>
      </c>
      <c r="H80" s="117">
        <f t="shared" si="9"/>
        <v>3.7445182097553272E-7</v>
      </c>
      <c r="I80" s="117">
        <f t="shared" si="9"/>
        <v>3.7445182097553272E-7</v>
      </c>
      <c r="J80" s="117">
        <f t="shared" si="9"/>
        <v>3.7445182097553272E-7</v>
      </c>
      <c r="K80" s="117">
        <f t="shared" si="9"/>
        <v>3.7445182097553272E-7</v>
      </c>
      <c r="L80" s="117">
        <f t="shared" si="9"/>
        <v>3.7445182097553272E-7</v>
      </c>
      <c r="M80" s="117">
        <f t="shared" si="9"/>
        <v>3.7445182097553272E-7</v>
      </c>
      <c r="N80" s="117">
        <f t="shared" si="9"/>
        <v>3.7445182097553272E-7</v>
      </c>
      <c r="O80" s="117">
        <f t="shared" si="9"/>
        <v>3.7445182097553272E-7</v>
      </c>
      <c r="P80" s="117">
        <f t="shared" si="9"/>
        <v>3.7445182097553272E-7</v>
      </c>
      <c r="Q80" s="117">
        <f t="shared" si="9"/>
        <v>3.7445182097553272E-7</v>
      </c>
      <c r="R80" s="117">
        <f t="shared" si="9"/>
        <v>3.7445182097553272E-7</v>
      </c>
      <c r="S80" s="117">
        <f t="shared" si="9"/>
        <v>3.7445182097553272E-7</v>
      </c>
      <c r="T80" s="117">
        <f t="shared" si="9"/>
        <v>3.7445182097553272E-7</v>
      </c>
      <c r="U80" s="117">
        <f t="shared" si="9"/>
        <v>3.7445182097553272E-7</v>
      </c>
      <c r="V80" s="117">
        <f t="shared" si="9"/>
        <v>3.7445182097553272E-7</v>
      </c>
      <c r="W80" s="117">
        <f t="shared" si="9"/>
        <v>3.7445182097553272E-7</v>
      </c>
      <c r="X80" s="117">
        <f t="shared" si="9"/>
        <v>3.7445182097553272E-7</v>
      </c>
      <c r="Y80" s="117">
        <f t="shared" si="9"/>
        <v>3.7445182097553272E-7</v>
      </c>
      <c r="Z80" s="117">
        <f t="shared" si="9"/>
        <v>3.7445182097553272E-7</v>
      </c>
      <c r="AA80" s="117">
        <f t="shared" si="9"/>
        <v>3.7445182097553272E-7</v>
      </c>
      <c r="AB80" s="117">
        <f t="shared" si="9"/>
        <v>3.7445182097553272E-7</v>
      </c>
      <c r="AC80" s="117">
        <f t="shared" si="9"/>
        <v>3.7445182097553272E-7</v>
      </c>
      <c r="AD80" s="117">
        <f t="shared" si="9"/>
        <v>3.7445182097553272E-7</v>
      </c>
      <c r="AE80" s="117">
        <f t="shared" si="9"/>
        <v>3.7445182097553272E-7</v>
      </c>
      <c r="AF80" s="117">
        <f t="shared" si="9"/>
        <v>3.7445182097553272E-7</v>
      </c>
      <c r="AG80" s="117">
        <f t="shared" si="9"/>
        <v>3.7445182097553272E-7</v>
      </c>
      <c r="AH80" s="117">
        <f t="shared" si="9"/>
        <v>3.7445182097553272E-7</v>
      </c>
      <c r="AI80" s="117">
        <f t="shared" si="9"/>
        <v>3.7445182097553272E-7</v>
      </c>
      <c r="AJ80" s="117">
        <f t="shared" si="9"/>
        <v>3.7445182097553272E-7</v>
      </c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s="30" customFormat="1" x14ac:dyDescent="0.25">
      <c r="A81"/>
      <c r="B81" s="18" t="s">
        <v>319</v>
      </c>
      <c r="C81" s="117">
        <f t="shared" ref="C81:AJ81" si="10">C79*heat_rate_CCS/heat_rate</f>
        <v>0</v>
      </c>
      <c r="D81" s="117">
        <f t="shared" si="10"/>
        <v>0</v>
      </c>
      <c r="E81" s="117">
        <f t="shared" si="10"/>
        <v>0</v>
      </c>
      <c r="F81" s="117">
        <f t="shared" si="10"/>
        <v>1.7219581914544724E-5</v>
      </c>
      <c r="G81" s="117">
        <f t="shared" si="10"/>
        <v>1.7219581914544724E-5</v>
      </c>
      <c r="H81" s="117">
        <f t="shared" si="10"/>
        <v>1.7219581914544724E-5</v>
      </c>
      <c r="I81" s="117">
        <f t="shared" si="10"/>
        <v>1.7219581914544724E-5</v>
      </c>
      <c r="J81" s="117">
        <f t="shared" si="10"/>
        <v>1.7219581914544724E-5</v>
      </c>
      <c r="K81" s="117">
        <f t="shared" si="10"/>
        <v>1.7219581914544724E-5</v>
      </c>
      <c r="L81" s="117">
        <f t="shared" si="10"/>
        <v>1.7219581914544724E-5</v>
      </c>
      <c r="M81" s="117">
        <f t="shared" si="10"/>
        <v>1.7219581914544724E-5</v>
      </c>
      <c r="N81" s="117">
        <f t="shared" si="10"/>
        <v>1.7219581914544724E-5</v>
      </c>
      <c r="O81" s="117">
        <f t="shared" si="10"/>
        <v>1.7219581914544724E-5</v>
      </c>
      <c r="P81" s="117">
        <f t="shared" si="10"/>
        <v>1.7219581914544724E-5</v>
      </c>
      <c r="Q81" s="117">
        <f t="shared" si="10"/>
        <v>1.7219581914544724E-5</v>
      </c>
      <c r="R81" s="117">
        <f t="shared" si="10"/>
        <v>1.7219581914544724E-5</v>
      </c>
      <c r="S81" s="117">
        <f t="shared" si="10"/>
        <v>1.7219581914544724E-5</v>
      </c>
      <c r="T81" s="117">
        <f t="shared" si="10"/>
        <v>1.7219581914544724E-5</v>
      </c>
      <c r="U81" s="117">
        <f t="shared" si="10"/>
        <v>1.7219581914544724E-5</v>
      </c>
      <c r="V81" s="117">
        <f t="shared" si="10"/>
        <v>1.7219581914544724E-5</v>
      </c>
      <c r="W81" s="117">
        <f t="shared" si="10"/>
        <v>1.7219581914544724E-5</v>
      </c>
      <c r="X81" s="117">
        <f t="shared" si="10"/>
        <v>1.7219581914544724E-5</v>
      </c>
      <c r="Y81" s="117">
        <f t="shared" si="10"/>
        <v>1.7219581914544724E-5</v>
      </c>
      <c r="Z81" s="117">
        <f t="shared" si="10"/>
        <v>1.7219581914544724E-5</v>
      </c>
      <c r="AA81" s="117">
        <f t="shared" si="10"/>
        <v>1.7219581914544724E-5</v>
      </c>
      <c r="AB81" s="117">
        <f t="shared" si="10"/>
        <v>1.7219581914544724E-5</v>
      </c>
      <c r="AC81" s="117">
        <f t="shared" si="10"/>
        <v>1.7219581914544724E-5</v>
      </c>
      <c r="AD81" s="117">
        <f t="shared" si="10"/>
        <v>1.7219581914544724E-5</v>
      </c>
      <c r="AE81" s="117">
        <f t="shared" si="10"/>
        <v>1.7219581914544724E-5</v>
      </c>
      <c r="AF81" s="117">
        <f t="shared" si="10"/>
        <v>1.7219581914544724E-5</v>
      </c>
      <c r="AG81" s="117">
        <f t="shared" si="10"/>
        <v>1.7219581914544724E-5</v>
      </c>
      <c r="AH81" s="117">
        <f t="shared" si="10"/>
        <v>1.7219581914544724E-5</v>
      </c>
      <c r="AI81" s="117">
        <f t="shared" si="10"/>
        <v>1.7219581914544724E-5</v>
      </c>
      <c r="AJ81" s="117">
        <f t="shared" si="10"/>
        <v>1.7219581914544724E-5</v>
      </c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s="30" customFormat="1" x14ac:dyDescent="0.25">
      <c r="A82"/>
      <c r="B82" s="18" t="s">
        <v>181</v>
      </c>
      <c r="C82" s="117">
        <v>0</v>
      </c>
      <c r="D82" s="117">
        <v>0</v>
      </c>
      <c r="E82" s="117">
        <v>0</v>
      </c>
      <c r="F82" s="130">
        <f>'Life Cycle Assessment Data'!$C$54*heat_rate/(fuel_energy_per_mass*1000)</f>
        <v>1.7009493670886076E-4</v>
      </c>
      <c r="G82" s="130">
        <f>'Life Cycle Assessment Data'!$C$54*heat_rate/(fuel_energy_per_mass*1000)</f>
        <v>1.7009493670886076E-4</v>
      </c>
      <c r="H82" s="130">
        <f>'Life Cycle Assessment Data'!$C$54*heat_rate/(fuel_energy_per_mass*1000)</f>
        <v>1.7009493670886076E-4</v>
      </c>
      <c r="I82" s="130">
        <f>'Life Cycle Assessment Data'!$C$54*heat_rate/(fuel_energy_per_mass*1000)</f>
        <v>1.7009493670886076E-4</v>
      </c>
      <c r="J82" s="130">
        <f>'Life Cycle Assessment Data'!$C$54*heat_rate/(fuel_energy_per_mass*1000)</f>
        <v>1.7009493670886076E-4</v>
      </c>
      <c r="K82" s="130">
        <f>'Life Cycle Assessment Data'!$C$54*heat_rate/(fuel_energy_per_mass*1000)</f>
        <v>1.7009493670886076E-4</v>
      </c>
      <c r="L82" s="130">
        <f>'Life Cycle Assessment Data'!$C$54*heat_rate/(fuel_energy_per_mass*1000)</f>
        <v>1.7009493670886076E-4</v>
      </c>
      <c r="M82" s="130">
        <f>'Life Cycle Assessment Data'!$C$54*heat_rate/(fuel_energy_per_mass*1000)</f>
        <v>1.7009493670886076E-4</v>
      </c>
      <c r="N82" s="130">
        <f>'Life Cycle Assessment Data'!$C$54*heat_rate/(fuel_energy_per_mass*1000)</f>
        <v>1.7009493670886076E-4</v>
      </c>
      <c r="O82" s="130">
        <f>'Life Cycle Assessment Data'!$C$54*heat_rate/(fuel_energy_per_mass*1000)</f>
        <v>1.7009493670886076E-4</v>
      </c>
      <c r="P82" s="130">
        <f>'Life Cycle Assessment Data'!$C$54*heat_rate/(fuel_energy_per_mass*1000)</f>
        <v>1.7009493670886076E-4</v>
      </c>
      <c r="Q82" s="130">
        <f>'Life Cycle Assessment Data'!$C$54*heat_rate/(fuel_energy_per_mass*1000)</f>
        <v>1.7009493670886076E-4</v>
      </c>
      <c r="R82" s="130">
        <f>'Life Cycle Assessment Data'!$C$54*heat_rate/(fuel_energy_per_mass*1000)</f>
        <v>1.7009493670886076E-4</v>
      </c>
      <c r="S82" s="130">
        <f>'Life Cycle Assessment Data'!$C$54*heat_rate/(fuel_energy_per_mass*1000)</f>
        <v>1.7009493670886076E-4</v>
      </c>
      <c r="T82" s="130">
        <f>'Life Cycle Assessment Data'!$C$54*heat_rate/(fuel_energy_per_mass*1000)</f>
        <v>1.7009493670886076E-4</v>
      </c>
      <c r="U82" s="130">
        <f>'Life Cycle Assessment Data'!$C$54*heat_rate/(fuel_energy_per_mass*1000)</f>
        <v>1.7009493670886076E-4</v>
      </c>
      <c r="V82" s="130">
        <f>'Life Cycle Assessment Data'!$C$54*heat_rate/(fuel_energy_per_mass*1000)</f>
        <v>1.7009493670886076E-4</v>
      </c>
      <c r="W82" s="130">
        <f>'Life Cycle Assessment Data'!$C$54*heat_rate/(fuel_energy_per_mass*1000)</f>
        <v>1.7009493670886076E-4</v>
      </c>
      <c r="X82" s="130">
        <f>'Life Cycle Assessment Data'!$C$54*heat_rate/(fuel_energy_per_mass*1000)</f>
        <v>1.7009493670886076E-4</v>
      </c>
      <c r="Y82" s="130">
        <f>'Life Cycle Assessment Data'!$C$54*heat_rate/(fuel_energy_per_mass*1000)</f>
        <v>1.7009493670886076E-4</v>
      </c>
      <c r="Z82" s="130">
        <f>'Life Cycle Assessment Data'!$C$54*heat_rate/(fuel_energy_per_mass*1000)</f>
        <v>1.7009493670886076E-4</v>
      </c>
      <c r="AA82" s="130">
        <f>'Life Cycle Assessment Data'!$C$54*heat_rate/(fuel_energy_per_mass*1000)</f>
        <v>1.7009493670886076E-4</v>
      </c>
      <c r="AB82" s="130">
        <f>'Life Cycle Assessment Data'!$C$54*heat_rate/(fuel_energy_per_mass*1000)</f>
        <v>1.7009493670886076E-4</v>
      </c>
      <c r="AC82" s="130">
        <f>'Life Cycle Assessment Data'!$C$54*heat_rate/(fuel_energy_per_mass*1000)</f>
        <v>1.7009493670886076E-4</v>
      </c>
      <c r="AD82" s="130">
        <f>'Life Cycle Assessment Data'!$C$54*heat_rate/(fuel_energy_per_mass*1000)</f>
        <v>1.7009493670886076E-4</v>
      </c>
      <c r="AE82" s="130">
        <f>'Life Cycle Assessment Data'!$C$54*heat_rate/(fuel_energy_per_mass*1000)</f>
        <v>1.7009493670886076E-4</v>
      </c>
      <c r="AF82" s="130">
        <f>'Life Cycle Assessment Data'!$C$54*heat_rate/(fuel_energy_per_mass*1000)</f>
        <v>1.7009493670886076E-4</v>
      </c>
      <c r="AG82" s="130">
        <f>'Life Cycle Assessment Data'!$C$54*heat_rate/(fuel_energy_per_mass*1000)</f>
        <v>1.7009493670886076E-4</v>
      </c>
      <c r="AH82" s="130">
        <f>'Life Cycle Assessment Data'!$C$54*heat_rate/(fuel_energy_per_mass*1000)</f>
        <v>1.7009493670886076E-4</v>
      </c>
      <c r="AI82" s="130">
        <f>'Life Cycle Assessment Data'!$C$54*heat_rate/(fuel_energy_per_mass*1000)</f>
        <v>1.7009493670886076E-4</v>
      </c>
      <c r="AJ82" s="130">
        <f>'Life Cycle Assessment Data'!$C$54*heat_rate/(fuel_energy_per_mass*1000)</f>
        <v>1.7009493670886076E-4</v>
      </c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s="30" customFormat="1" x14ac:dyDescent="0.25">
      <c r="A83"/>
      <c r="B83" s="18" t="s">
        <v>320</v>
      </c>
      <c r="C83" s="117">
        <f t="shared" ref="C83:AJ83" si="11">C82*heat_rate_CCS/heat_rate</f>
        <v>0</v>
      </c>
      <c r="D83" s="117">
        <f t="shared" si="11"/>
        <v>0</v>
      </c>
      <c r="E83" s="117">
        <f t="shared" si="11"/>
        <v>0</v>
      </c>
      <c r="F83" s="117">
        <f t="shared" si="11"/>
        <v>1.9857594936708859E-4</v>
      </c>
      <c r="G83" s="117">
        <f t="shared" si="11"/>
        <v>1.9857594936708859E-4</v>
      </c>
      <c r="H83" s="117">
        <f t="shared" si="11"/>
        <v>1.9857594936708859E-4</v>
      </c>
      <c r="I83" s="117">
        <f t="shared" si="11"/>
        <v>1.9857594936708859E-4</v>
      </c>
      <c r="J83" s="117">
        <f t="shared" si="11"/>
        <v>1.9857594936708859E-4</v>
      </c>
      <c r="K83" s="117">
        <f t="shared" si="11"/>
        <v>1.9857594936708859E-4</v>
      </c>
      <c r="L83" s="117">
        <f t="shared" si="11"/>
        <v>1.9857594936708859E-4</v>
      </c>
      <c r="M83" s="117">
        <f t="shared" si="11"/>
        <v>1.9857594936708859E-4</v>
      </c>
      <c r="N83" s="117">
        <f t="shared" si="11"/>
        <v>1.9857594936708859E-4</v>
      </c>
      <c r="O83" s="117">
        <f t="shared" si="11"/>
        <v>1.9857594936708859E-4</v>
      </c>
      <c r="P83" s="117">
        <f t="shared" si="11"/>
        <v>1.9857594936708859E-4</v>
      </c>
      <c r="Q83" s="117">
        <f t="shared" si="11"/>
        <v>1.9857594936708859E-4</v>
      </c>
      <c r="R83" s="117">
        <f t="shared" si="11"/>
        <v>1.9857594936708859E-4</v>
      </c>
      <c r="S83" s="117">
        <f t="shared" si="11"/>
        <v>1.9857594936708859E-4</v>
      </c>
      <c r="T83" s="117">
        <f t="shared" si="11"/>
        <v>1.9857594936708859E-4</v>
      </c>
      <c r="U83" s="117">
        <f t="shared" si="11"/>
        <v>1.9857594936708859E-4</v>
      </c>
      <c r="V83" s="117">
        <f t="shared" si="11"/>
        <v>1.9857594936708859E-4</v>
      </c>
      <c r="W83" s="117">
        <f t="shared" si="11"/>
        <v>1.9857594936708859E-4</v>
      </c>
      <c r="X83" s="117">
        <f t="shared" si="11"/>
        <v>1.9857594936708859E-4</v>
      </c>
      <c r="Y83" s="117">
        <f t="shared" si="11"/>
        <v>1.9857594936708859E-4</v>
      </c>
      <c r="Z83" s="117">
        <f t="shared" si="11"/>
        <v>1.9857594936708859E-4</v>
      </c>
      <c r="AA83" s="117">
        <f t="shared" si="11"/>
        <v>1.9857594936708859E-4</v>
      </c>
      <c r="AB83" s="117">
        <f t="shared" si="11"/>
        <v>1.9857594936708859E-4</v>
      </c>
      <c r="AC83" s="117">
        <f t="shared" si="11"/>
        <v>1.9857594936708859E-4</v>
      </c>
      <c r="AD83" s="117">
        <f t="shared" si="11"/>
        <v>1.9857594936708859E-4</v>
      </c>
      <c r="AE83" s="117">
        <f t="shared" si="11"/>
        <v>1.9857594936708859E-4</v>
      </c>
      <c r="AF83" s="117">
        <f t="shared" si="11"/>
        <v>1.9857594936708859E-4</v>
      </c>
      <c r="AG83" s="117">
        <f t="shared" si="11"/>
        <v>1.9857594936708859E-4</v>
      </c>
      <c r="AH83" s="117">
        <f t="shared" si="11"/>
        <v>1.9857594936708859E-4</v>
      </c>
      <c r="AI83" s="117">
        <f t="shared" si="11"/>
        <v>1.9857594936708859E-4</v>
      </c>
      <c r="AJ83" s="117">
        <f t="shared" si="11"/>
        <v>1.9857594936708859E-4</v>
      </c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s="30" customFormat="1" x14ac:dyDescent="0.25">
      <c r="A84"/>
      <c r="B84" s="18" t="s">
        <v>169</v>
      </c>
      <c r="C84" s="117">
        <v>0</v>
      </c>
      <c r="D84" s="117">
        <v>0</v>
      </c>
      <c r="E84" s="117">
        <v>0</v>
      </c>
      <c r="F84" s="130">
        <f>'Life Cycle Assessment Data'!$H$29</f>
        <v>3.6499999999999998E-4</v>
      </c>
      <c r="G84" s="130">
        <f>'Life Cycle Assessment Data'!$H$29</f>
        <v>3.6499999999999998E-4</v>
      </c>
      <c r="H84" s="130">
        <f>'Life Cycle Assessment Data'!$H$29</f>
        <v>3.6499999999999998E-4</v>
      </c>
      <c r="I84" s="130">
        <f>'Life Cycle Assessment Data'!$H$29</f>
        <v>3.6499999999999998E-4</v>
      </c>
      <c r="J84" s="130">
        <f>'Life Cycle Assessment Data'!$H$29</f>
        <v>3.6499999999999998E-4</v>
      </c>
      <c r="K84" s="130">
        <f>'Life Cycle Assessment Data'!$H$29</f>
        <v>3.6499999999999998E-4</v>
      </c>
      <c r="L84" s="130">
        <f>'Life Cycle Assessment Data'!$H$29</f>
        <v>3.6499999999999998E-4</v>
      </c>
      <c r="M84" s="130">
        <f>'Life Cycle Assessment Data'!$H$29</f>
        <v>3.6499999999999998E-4</v>
      </c>
      <c r="N84" s="130">
        <f>'Life Cycle Assessment Data'!$H$29</f>
        <v>3.6499999999999998E-4</v>
      </c>
      <c r="O84" s="130">
        <f>'Life Cycle Assessment Data'!$H$29</f>
        <v>3.6499999999999998E-4</v>
      </c>
      <c r="P84" s="130">
        <f>'Life Cycle Assessment Data'!$H$29</f>
        <v>3.6499999999999998E-4</v>
      </c>
      <c r="Q84" s="130">
        <f>'Life Cycle Assessment Data'!$H$29</f>
        <v>3.6499999999999998E-4</v>
      </c>
      <c r="R84" s="130">
        <f>'Life Cycle Assessment Data'!$H$29</f>
        <v>3.6499999999999998E-4</v>
      </c>
      <c r="S84" s="130">
        <f>'Life Cycle Assessment Data'!$H$29</f>
        <v>3.6499999999999998E-4</v>
      </c>
      <c r="T84" s="130">
        <f>'Life Cycle Assessment Data'!$H$29</f>
        <v>3.6499999999999998E-4</v>
      </c>
      <c r="U84" s="130">
        <f>'Life Cycle Assessment Data'!$H$29</f>
        <v>3.6499999999999998E-4</v>
      </c>
      <c r="V84" s="130">
        <f>'Life Cycle Assessment Data'!$H$29</f>
        <v>3.6499999999999998E-4</v>
      </c>
      <c r="W84" s="130">
        <f>'Life Cycle Assessment Data'!$H$29</f>
        <v>3.6499999999999998E-4</v>
      </c>
      <c r="X84" s="130">
        <f>'Life Cycle Assessment Data'!$H$29</f>
        <v>3.6499999999999998E-4</v>
      </c>
      <c r="Y84" s="130">
        <f>'Life Cycle Assessment Data'!$H$29</f>
        <v>3.6499999999999998E-4</v>
      </c>
      <c r="Z84" s="130">
        <f>'Life Cycle Assessment Data'!$H$29</f>
        <v>3.6499999999999998E-4</v>
      </c>
      <c r="AA84" s="130">
        <f>'Life Cycle Assessment Data'!$H$29</f>
        <v>3.6499999999999998E-4</v>
      </c>
      <c r="AB84" s="130">
        <f>'Life Cycle Assessment Data'!$H$29</f>
        <v>3.6499999999999998E-4</v>
      </c>
      <c r="AC84" s="130">
        <f>'Life Cycle Assessment Data'!$H$29</f>
        <v>3.6499999999999998E-4</v>
      </c>
      <c r="AD84" s="130">
        <f>'Life Cycle Assessment Data'!$H$29</f>
        <v>3.6499999999999998E-4</v>
      </c>
      <c r="AE84" s="130">
        <f>'Life Cycle Assessment Data'!$H$29</f>
        <v>3.6499999999999998E-4</v>
      </c>
      <c r="AF84" s="130">
        <f>'Life Cycle Assessment Data'!$H$29</f>
        <v>3.6499999999999998E-4</v>
      </c>
      <c r="AG84" s="130">
        <f>'Life Cycle Assessment Data'!$H$29</f>
        <v>3.6499999999999998E-4</v>
      </c>
      <c r="AH84" s="130">
        <f>'Life Cycle Assessment Data'!$H$29</f>
        <v>3.6499999999999998E-4</v>
      </c>
      <c r="AI84" s="130">
        <f>'Life Cycle Assessment Data'!$H$29</f>
        <v>3.6499999999999998E-4</v>
      </c>
      <c r="AJ84" s="130">
        <f>'Life Cycle Assessment Data'!$H$29</f>
        <v>3.6499999999999998E-4</v>
      </c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s="30" customFormat="1" x14ac:dyDescent="0.25">
      <c r="A85"/>
      <c r="B85" s="15" t="s">
        <v>170</v>
      </c>
      <c r="C85" s="117">
        <v>0</v>
      </c>
      <c r="D85" s="117">
        <v>0</v>
      </c>
      <c r="E85" s="117">
        <v>0</v>
      </c>
      <c r="F85" s="130">
        <f>'Life Cycle Assessment Data'!$H$44</f>
        <v>4.71E-5</v>
      </c>
      <c r="G85" s="130">
        <f>'Life Cycle Assessment Data'!$H$44</f>
        <v>4.71E-5</v>
      </c>
      <c r="H85" s="130">
        <f>'Life Cycle Assessment Data'!$H$44</f>
        <v>4.71E-5</v>
      </c>
      <c r="I85" s="130">
        <f>'Life Cycle Assessment Data'!$H$44</f>
        <v>4.71E-5</v>
      </c>
      <c r="J85" s="130">
        <f>'Life Cycle Assessment Data'!$H$44</f>
        <v>4.71E-5</v>
      </c>
      <c r="K85" s="130">
        <f>'Life Cycle Assessment Data'!$H$44</f>
        <v>4.71E-5</v>
      </c>
      <c r="L85" s="130">
        <f>'Life Cycle Assessment Data'!$H$44</f>
        <v>4.71E-5</v>
      </c>
      <c r="M85" s="130">
        <f>'Life Cycle Assessment Data'!$H$44</f>
        <v>4.71E-5</v>
      </c>
      <c r="N85" s="130">
        <f>'Life Cycle Assessment Data'!$H$44</f>
        <v>4.71E-5</v>
      </c>
      <c r="O85" s="130">
        <f>'Life Cycle Assessment Data'!$H$44</f>
        <v>4.71E-5</v>
      </c>
      <c r="P85" s="130">
        <f>'Life Cycle Assessment Data'!$H$44</f>
        <v>4.71E-5</v>
      </c>
      <c r="Q85" s="130">
        <f>'Life Cycle Assessment Data'!$H$44</f>
        <v>4.71E-5</v>
      </c>
      <c r="R85" s="130">
        <f>'Life Cycle Assessment Data'!$H$44</f>
        <v>4.71E-5</v>
      </c>
      <c r="S85" s="130">
        <f>'Life Cycle Assessment Data'!$H$44</f>
        <v>4.71E-5</v>
      </c>
      <c r="T85" s="130">
        <f>'Life Cycle Assessment Data'!$H$44</f>
        <v>4.71E-5</v>
      </c>
      <c r="U85" s="130">
        <f>'Life Cycle Assessment Data'!$H$44</f>
        <v>4.71E-5</v>
      </c>
      <c r="V85" s="130">
        <f>'Life Cycle Assessment Data'!$H$44</f>
        <v>4.71E-5</v>
      </c>
      <c r="W85" s="130">
        <f>'Life Cycle Assessment Data'!$H$44</f>
        <v>4.71E-5</v>
      </c>
      <c r="X85" s="130">
        <f>'Life Cycle Assessment Data'!$H$44</f>
        <v>4.71E-5</v>
      </c>
      <c r="Y85" s="130">
        <f>'Life Cycle Assessment Data'!$H$44</f>
        <v>4.71E-5</v>
      </c>
      <c r="Z85" s="130">
        <f>'Life Cycle Assessment Data'!$H$44</f>
        <v>4.71E-5</v>
      </c>
      <c r="AA85" s="130">
        <f>'Life Cycle Assessment Data'!$H$44</f>
        <v>4.71E-5</v>
      </c>
      <c r="AB85" s="130">
        <f>'Life Cycle Assessment Data'!$H$44</f>
        <v>4.71E-5</v>
      </c>
      <c r="AC85" s="130">
        <f>'Life Cycle Assessment Data'!$H$44</f>
        <v>4.71E-5</v>
      </c>
      <c r="AD85" s="130">
        <f>'Life Cycle Assessment Data'!$H$44</f>
        <v>4.71E-5</v>
      </c>
      <c r="AE85" s="130">
        <f>'Life Cycle Assessment Data'!$H$44</f>
        <v>4.71E-5</v>
      </c>
      <c r="AF85" s="130">
        <f>'Life Cycle Assessment Data'!$H$44</f>
        <v>4.71E-5</v>
      </c>
      <c r="AG85" s="130">
        <f>'Life Cycle Assessment Data'!$H$44</f>
        <v>4.71E-5</v>
      </c>
      <c r="AH85" s="130">
        <f>'Life Cycle Assessment Data'!$H$44</f>
        <v>4.71E-5</v>
      </c>
      <c r="AI85" s="130">
        <f>'Life Cycle Assessment Data'!$H$44</f>
        <v>4.71E-5</v>
      </c>
      <c r="AJ85" s="130">
        <f>'Life Cycle Assessment Data'!$H$44</f>
        <v>4.71E-5</v>
      </c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s="30" customFormat="1" x14ac:dyDescent="0.25">
      <c r="A86"/>
      <c r="B86" s="15" t="s">
        <v>171</v>
      </c>
      <c r="C86" s="117">
        <v>0</v>
      </c>
      <c r="D86" s="117">
        <v>0</v>
      </c>
      <c r="E86" s="117">
        <v>0</v>
      </c>
      <c r="F86" s="131">
        <f>0</f>
        <v>0</v>
      </c>
      <c r="G86" s="131">
        <f>0</f>
        <v>0</v>
      </c>
      <c r="H86" s="131">
        <f>0</f>
        <v>0</v>
      </c>
      <c r="I86" s="131">
        <f>0</f>
        <v>0</v>
      </c>
      <c r="J86" s="131">
        <f>0</f>
        <v>0</v>
      </c>
      <c r="K86" s="131">
        <f>0</f>
        <v>0</v>
      </c>
      <c r="L86" s="131">
        <f>0</f>
        <v>0</v>
      </c>
      <c r="M86" s="131">
        <f>0</f>
        <v>0</v>
      </c>
      <c r="N86" s="131">
        <f>0</f>
        <v>0</v>
      </c>
      <c r="O86" s="131">
        <f>0</f>
        <v>0</v>
      </c>
      <c r="P86" s="131">
        <f>0</f>
        <v>0</v>
      </c>
      <c r="Q86" s="131">
        <f>0</f>
        <v>0</v>
      </c>
      <c r="R86" s="131">
        <f>0</f>
        <v>0</v>
      </c>
      <c r="S86" s="131">
        <f>0</f>
        <v>0</v>
      </c>
      <c r="T86" s="131">
        <f>0</f>
        <v>0</v>
      </c>
      <c r="U86" s="131">
        <f>0</f>
        <v>0</v>
      </c>
      <c r="V86" s="131">
        <f>0</f>
        <v>0</v>
      </c>
      <c r="W86" s="131">
        <f>0</f>
        <v>0</v>
      </c>
      <c r="X86" s="131">
        <f>0</f>
        <v>0</v>
      </c>
      <c r="Y86" s="131">
        <f>0</f>
        <v>0</v>
      </c>
      <c r="Z86" s="131">
        <f>0</f>
        <v>0</v>
      </c>
      <c r="AA86" s="131">
        <f>0</f>
        <v>0</v>
      </c>
      <c r="AB86" s="131">
        <f>0</f>
        <v>0</v>
      </c>
      <c r="AC86" s="131">
        <f>0</f>
        <v>0</v>
      </c>
      <c r="AD86" s="131">
        <f>0</f>
        <v>0</v>
      </c>
      <c r="AE86" s="131">
        <f>0</f>
        <v>0</v>
      </c>
      <c r="AF86" s="131">
        <f>0</f>
        <v>0</v>
      </c>
      <c r="AG86" s="131">
        <f>0</f>
        <v>0</v>
      </c>
      <c r="AH86" s="131">
        <f>0</f>
        <v>0</v>
      </c>
      <c r="AI86" s="131">
        <f>0</f>
        <v>0</v>
      </c>
      <c r="AJ86" s="131">
        <f>0</f>
        <v>0</v>
      </c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s="30" customFormat="1" x14ac:dyDescent="0.25">
      <c r="A87"/>
      <c r="B87" s="15" t="s">
        <v>172</v>
      </c>
      <c r="C87" s="117">
        <v>0</v>
      </c>
      <c r="D87" s="117">
        <v>0</v>
      </c>
      <c r="E87" s="117">
        <v>0</v>
      </c>
      <c r="F87" s="117">
        <v>0</v>
      </c>
      <c r="G87" s="117">
        <v>0</v>
      </c>
      <c r="H87" s="117">
        <v>0</v>
      </c>
      <c r="I87" s="117">
        <v>0</v>
      </c>
      <c r="J87" s="117">
        <v>0</v>
      </c>
      <c r="K87" s="117">
        <v>0</v>
      </c>
      <c r="L87" s="117">
        <v>0</v>
      </c>
      <c r="M87" s="117">
        <v>0</v>
      </c>
      <c r="N87" s="117">
        <v>0</v>
      </c>
      <c r="O87" s="117">
        <v>0</v>
      </c>
      <c r="P87" s="117">
        <v>0</v>
      </c>
      <c r="Q87" s="117">
        <v>0</v>
      </c>
      <c r="R87" s="117">
        <v>0</v>
      </c>
      <c r="S87" s="117">
        <v>0</v>
      </c>
      <c r="T87" s="117">
        <v>0</v>
      </c>
      <c r="U87" s="117">
        <v>0</v>
      </c>
      <c r="V87" s="117">
        <v>0</v>
      </c>
      <c r="W87" s="117">
        <v>0</v>
      </c>
      <c r="X87" s="117">
        <v>0</v>
      </c>
      <c r="Y87" s="117">
        <v>0</v>
      </c>
      <c r="Z87" s="117">
        <v>0</v>
      </c>
      <c r="AA87" s="117">
        <v>0</v>
      </c>
      <c r="AB87" s="117">
        <v>0</v>
      </c>
      <c r="AC87" s="117">
        <v>0</v>
      </c>
      <c r="AD87" s="117">
        <v>0</v>
      </c>
      <c r="AE87" s="117">
        <v>0</v>
      </c>
      <c r="AF87" s="117">
        <v>0</v>
      </c>
      <c r="AG87" s="117">
        <v>0</v>
      </c>
      <c r="AH87" s="117">
        <v>0</v>
      </c>
      <c r="AI87" s="117">
        <v>0</v>
      </c>
      <c r="AJ87" s="117">
        <v>0</v>
      </c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s="30" customFormat="1" x14ac:dyDescent="0.25">
      <c r="A88"/>
      <c r="B88" s="68" t="s">
        <v>173</v>
      </c>
      <c r="C88" s="171">
        <v>0</v>
      </c>
      <c r="D88" s="171">
        <v>0</v>
      </c>
      <c r="E88" s="171">
        <v>0</v>
      </c>
      <c r="F88" s="218">
        <f>'Life Cycle Assessment Data'!$H$44-'Life Cycle Assessment Data'!$H$29</f>
        <v>-3.1789999999999998E-4</v>
      </c>
      <c r="G88" s="218">
        <f>'Life Cycle Assessment Data'!$H$44-'Life Cycle Assessment Data'!$H$29</f>
        <v>-3.1789999999999998E-4</v>
      </c>
      <c r="H88" s="218">
        <f>'Life Cycle Assessment Data'!$H$44-'Life Cycle Assessment Data'!$H$29</f>
        <v>-3.1789999999999998E-4</v>
      </c>
      <c r="I88" s="218">
        <f>'Life Cycle Assessment Data'!$H$44-'Life Cycle Assessment Data'!$H$29</f>
        <v>-3.1789999999999998E-4</v>
      </c>
      <c r="J88" s="218">
        <f>'Life Cycle Assessment Data'!$H$44-'Life Cycle Assessment Data'!$H$29</f>
        <v>-3.1789999999999998E-4</v>
      </c>
      <c r="K88" s="218">
        <f>'Life Cycle Assessment Data'!$H$44-'Life Cycle Assessment Data'!$H$29</f>
        <v>-3.1789999999999998E-4</v>
      </c>
      <c r="L88" s="218">
        <f>'Life Cycle Assessment Data'!$H$44-'Life Cycle Assessment Data'!$H$29</f>
        <v>-3.1789999999999998E-4</v>
      </c>
      <c r="M88" s="218">
        <f>'Life Cycle Assessment Data'!$H$44-'Life Cycle Assessment Data'!$H$29</f>
        <v>-3.1789999999999998E-4</v>
      </c>
      <c r="N88" s="218">
        <f>'Life Cycle Assessment Data'!$H$44-'Life Cycle Assessment Data'!$H$29</f>
        <v>-3.1789999999999998E-4</v>
      </c>
      <c r="O88" s="218">
        <f>'Life Cycle Assessment Data'!$H$44-'Life Cycle Assessment Data'!$H$29</f>
        <v>-3.1789999999999998E-4</v>
      </c>
      <c r="P88" s="218">
        <f>'Life Cycle Assessment Data'!$H$44-'Life Cycle Assessment Data'!$H$29</f>
        <v>-3.1789999999999998E-4</v>
      </c>
      <c r="Q88" s="218">
        <f>'Life Cycle Assessment Data'!$H$44-'Life Cycle Assessment Data'!$H$29</f>
        <v>-3.1789999999999998E-4</v>
      </c>
      <c r="R88" s="218">
        <f>'Life Cycle Assessment Data'!$H$44-'Life Cycle Assessment Data'!$H$29</f>
        <v>-3.1789999999999998E-4</v>
      </c>
      <c r="S88" s="218">
        <f>'Life Cycle Assessment Data'!$H$44-'Life Cycle Assessment Data'!$H$29</f>
        <v>-3.1789999999999998E-4</v>
      </c>
      <c r="T88" s="218">
        <f>'Life Cycle Assessment Data'!$H$44-'Life Cycle Assessment Data'!$H$29</f>
        <v>-3.1789999999999998E-4</v>
      </c>
      <c r="U88" s="218">
        <f>'Life Cycle Assessment Data'!$H$44-'Life Cycle Assessment Data'!$H$29</f>
        <v>-3.1789999999999998E-4</v>
      </c>
      <c r="V88" s="218">
        <f>'Life Cycle Assessment Data'!$H$44-'Life Cycle Assessment Data'!$H$29</f>
        <v>-3.1789999999999998E-4</v>
      </c>
      <c r="W88" s="218">
        <f>'Life Cycle Assessment Data'!$H$44-'Life Cycle Assessment Data'!$H$29</f>
        <v>-3.1789999999999998E-4</v>
      </c>
      <c r="X88" s="218">
        <f>'Life Cycle Assessment Data'!$H$44-'Life Cycle Assessment Data'!$H$29</f>
        <v>-3.1789999999999998E-4</v>
      </c>
      <c r="Y88" s="218">
        <f>'Life Cycle Assessment Data'!$H$44-'Life Cycle Assessment Data'!$H$29</f>
        <v>-3.1789999999999998E-4</v>
      </c>
      <c r="Z88" s="218">
        <f>'Life Cycle Assessment Data'!$H$44-'Life Cycle Assessment Data'!$H$29</f>
        <v>-3.1789999999999998E-4</v>
      </c>
      <c r="AA88" s="218">
        <f>'Life Cycle Assessment Data'!$H$44-'Life Cycle Assessment Data'!$H$29</f>
        <v>-3.1789999999999998E-4</v>
      </c>
      <c r="AB88" s="218">
        <f>'Life Cycle Assessment Data'!$H$44-'Life Cycle Assessment Data'!$H$29</f>
        <v>-3.1789999999999998E-4</v>
      </c>
      <c r="AC88" s="218">
        <f>'Life Cycle Assessment Data'!$H$44-'Life Cycle Assessment Data'!$H$29</f>
        <v>-3.1789999999999998E-4</v>
      </c>
      <c r="AD88" s="218">
        <f>'Life Cycle Assessment Data'!$H$44-'Life Cycle Assessment Data'!$H$29</f>
        <v>-3.1789999999999998E-4</v>
      </c>
      <c r="AE88" s="218">
        <f>'Life Cycle Assessment Data'!$H$44-'Life Cycle Assessment Data'!$H$29</f>
        <v>-3.1789999999999998E-4</v>
      </c>
      <c r="AF88" s="218">
        <f>'Life Cycle Assessment Data'!$H$44-'Life Cycle Assessment Data'!$H$29</f>
        <v>-3.1789999999999998E-4</v>
      </c>
      <c r="AG88" s="218">
        <f>'Life Cycle Assessment Data'!$H$44-'Life Cycle Assessment Data'!$H$29</f>
        <v>-3.1789999999999998E-4</v>
      </c>
      <c r="AH88" s="218">
        <f>'Life Cycle Assessment Data'!$H$44-'Life Cycle Assessment Data'!$H$29</f>
        <v>-3.1789999999999998E-4</v>
      </c>
      <c r="AI88" s="218">
        <f>'Life Cycle Assessment Data'!$H$44-'Life Cycle Assessment Data'!$H$29</f>
        <v>-3.1789999999999998E-4</v>
      </c>
      <c r="AJ88" s="218">
        <f>'Life Cycle Assessment Data'!$H$44-'Life Cycle Assessment Data'!$H$29</f>
        <v>-3.1789999999999998E-4</v>
      </c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s="30" customFormat="1" x14ac:dyDescent="0.25">
      <c r="A89"/>
      <c r="B89" s="215" t="s">
        <v>7</v>
      </c>
      <c r="C89" s="215"/>
      <c r="D89" s="215"/>
      <c r="E89" s="215"/>
      <c r="F89" s="215"/>
      <c r="G89" s="215"/>
      <c r="H89" s="215"/>
      <c r="I89" s="215"/>
      <c r="J89" s="215"/>
      <c r="K89" s="215"/>
      <c r="L89" s="215"/>
      <c r="M89" s="215"/>
      <c r="N89" s="215"/>
      <c r="O89" s="215"/>
      <c r="P89" s="215"/>
      <c r="Q89" s="215"/>
      <c r="R89" s="215"/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  <c r="AH89" s="215"/>
      <c r="AI89" s="215"/>
      <c r="AJ89" s="215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s="30" customFormat="1" x14ac:dyDescent="0.25">
      <c r="A90"/>
      <c r="B90" s="67" t="s">
        <v>164</v>
      </c>
      <c r="C90" s="129">
        <f>IF('Life Cycle Assessment Data'!$C$60="Match capital spending",'Life Cycle Assessment Data'!$F$30*'Techno-Economic Analysis'!$C$93,'Life Cycle Assessment Data'!$F$30*1/3)</f>
        <v>2.8542999999999996E-8</v>
      </c>
      <c r="D90" s="129">
        <f>IF('Life Cycle Assessment Data'!$C$60="Match capital spending",'Life Cycle Assessment Data'!$F$30*'Techno-Economic Analysis'!$C$94,'Life Cycle Assessment Data'!$F$30*1/3)</f>
        <v>2.8542999999999996E-8</v>
      </c>
      <c r="E90" s="129">
        <f>IF('Life Cycle Assessment Data'!$C$60="Match capital spending",'Life Cycle Assessment Data'!$F$30*'Techno-Economic Analysis'!$C$95,'Life Cycle Assessment Data'!$F$30*1/3)</f>
        <v>2.8542999999999996E-8</v>
      </c>
      <c r="F90" s="129">
        <v>0</v>
      </c>
      <c r="G90" s="129">
        <v>0</v>
      </c>
      <c r="H90" s="129">
        <v>0</v>
      </c>
      <c r="I90" s="129">
        <v>0</v>
      </c>
      <c r="J90" s="129">
        <v>0</v>
      </c>
      <c r="K90" s="129">
        <v>0</v>
      </c>
      <c r="L90" s="129">
        <v>0</v>
      </c>
      <c r="M90" s="129">
        <v>0</v>
      </c>
      <c r="N90" s="129">
        <v>0</v>
      </c>
      <c r="O90" s="129">
        <v>0</v>
      </c>
      <c r="P90" s="129">
        <v>0</v>
      </c>
      <c r="Q90" s="129">
        <v>0</v>
      </c>
      <c r="R90" s="129">
        <v>0</v>
      </c>
      <c r="S90" s="129">
        <v>0</v>
      </c>
      <c r="T90" s="129">
        <v>0</v>
      </c>
      <c r="U90" s="129">
        <v>0</v>
      </c>
      <c r="V90" s="129">
        <v>0</v>
      </c>
      <c r="W90" s="129">
        <v>0</v>
      </c>
      <c r="X90" s="129">
        <v>0</v>
      </c>
      <c r="Y90" s="129">
        <v>0</v>
      </c>
      <c r="Z90" s="129">
        <v>0</v>
      </c>
      <c r="AA90" s="129">
        <v>0</v>
      </c>
      <c r="AB90" s="129">
        <v>0</v>
      </c>
      <c r="AC90" s="129">
        <v>0</v>
      </c>
      <c r="AD90" s="129">
        <v>0</v>
      </c>
      <c r="AE90" s="129">
        <v>0</v>
      </c>
      <c r="AF90" s="129">
        <v>0</v>
      </c>
      <c r="AG90" s="129">
        <v>0</v>
      </c>
      <c r="AH90" s="129">
        <v>0</v>
      </c>
      <c r="AI90" s="129">
        <v>0</v>
      </c>
      <c r="AJ90" s="129">
        <v>0</v>
      </c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s="30" customFormat="1" x14ac:dyDescent="0.25">
      <c r="A91"/>
      <c r="B91" s="18" t="s">
        <v>165</v>
      </c>
      <c r="C91" s="130">
        <v>0</v>
      </c>
      <c r="D91" s="130">
        <v>0</v>
      </c>
      <c r="E91" s="130">
        <f>+'Life Cycle Assessment Data'!$G$30</f>
        <v>1.3961250000000001E-9</v>
      </c>
      <c r="F91" s="130">
        <v>0</v>
      </c>
      <c r="G91" s="130">
        <v>0</v>
      </c>
      <c r="H91" s="130">
        <v>0</v>
      </c>
      <c r="I91" s="130">
        <v>0</v>
      </c>
      <c r="J91" s="130">
        <v>0</v>
      </c>
      <c r="K91" s="130">
        <v>0</v>
      </c>
      <c r="L91" s="130">
        <v>0</v>
      </c>
      <c r="M91" s="130">
        <v>0</v>
      </c>
      <c r="N91" s="130">
        <v>0</v>
      </c>
      <c r="O91" s="130">
        <v>0</v>
      </c>
      <c r="P91" s="130">
        <v>0</v>
      </c>
      <c r="Q91" s="130">
        <v>0</v>
      </c>
      <c r="R91" s="130">
        <v>0</v>
      </c>
      <c r="S91" s="130">
        <v>0</v>
      </c>
      <c r="T91" s="130">
        <v>0</v>
      </c>
      <c r="U91" s="130">
        <v>0</v>
      </c>
      <c r="V91" s="130">
        <v>0</v>
      </c>
      <c r="W91" s="130">
        <v>0</v>
      </c>
      <c r="X91" s="130">
        <v>0</v>
      </c>
      <c r="Y91" s="130">
        <v>0</v>
      </c>
      <c r="Z91" s="130">
        <v>0</v>
      </c>
      <c r="AA91" s="130">
        <v>0</v>
      </c>
      <c r="AB91" s="130">
        <v>0</v>
      </c>
      <c r="AC91" s="130">
        <v>0</v>
      </c>
      <c r="AD91" s="130">
        <v>0</v>
      </c>
      <c r="AE91" s="130">
        <v>0</v>
      </c>
      <c r="AF91" s="130">
        <v>0</v>
      </c>
      <c r="AG91" s="130">
        <v>0</v>
      </c>
      <c r="AH91" s="130">
        <v>0</v>
      </c>
      <c r="AI91" s="130">
        <v>0</v>
      </c>
      <c r="AJ91" s="130">
        <f>'Life Cycle Assessment Data'!$I$30</f>
        <v>1.3961250000000001E-9</v>
      </c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s="30" customFormat="1" x14ac:dyDescent="0.25">
      <c r="A92"/>
      <c r="B92" s="18" t="s">
        <v>166</v>
      </c>
      <c r="C92" s="130">
        <f>IF(C71=year_of_decision,'Life Cycle Assessment Data'!$F$45-'Life Cycle Assessment Data'!$F$30,0)</f>
        <v>0</v>
      </c>
      <c r="D92" s="130">
        <f>IF(D71=year_of_decision,'Life Cycle Assessment Data'!$F$45-'Life Cycle Assessment Data'!$F$30,0)</f>
        <v>0</v>
      </c>
      <c r="E92" s="130">
        <f>IF(E71=year_of_decision,'Life Cycle Assessment Data'!$F$45-'Life Cycle Assessment Data'!$F$30,0)</f>
        <v>0</v>
      </c>
      <c r="F92" s="130">
        <f>IF(F71=year_of_decision,'Life Cycle Assessment Data'!$F$45-'Life Cycle Assessment Data'!$F$30,0)</f>
        <v>0</v>
      </c>
      <c r="G92" s="130">
        <f>IF(G71=year_of_decision,'Life Cycle Assessment Data'!$F$45-'Life Cycle Assessment Data'!$F$30,0)</f>
        <v>0</v>
      </c>
      <c r="H92" s="130">
        <f>IF(H71=year_of_decision,'Life Cycle Assessment Data'!$F$45-'Life Cycle Assessment Data'!$F$30,0)</f>
        <v>0</v>
      </c>
      <c r="I92" s="130">
        <f>IF(I71=year_of_decision,'Life Cycle Assessment Data'!$F$45-'Life Cycle Assessment Data'!$F$30,0)</f>
        <v>0</v>
      </c>
      <c r="J92" s="130">
        <f>IF(J71=year_of_decision,'Life Cycle Assessment Data'!$F$45-'Life Cycle Assessment Data'!$F$30,0)</f>
        <v>0</v>
      </c>
      <c r="K92" s="130">
        <f>IF(K71=year_of_decision,'Life Cycle Assessment Data'!$F$45-'Life Cycle Assessment Data'!$F$30,0)</f>
        <v>4.9888199999999974E-8</v>
      </c>
      <c r="L92" s="130">
        <f>IF(L71=year_of_decision,'Life Cycle Assessment Data'!$F$45-'Life Cycle Assessment Data'!$F$30,0)</f>
        <v>0</v>
      </c>
      <c r="M92" s="130">
        <f>IF(M71=year_of_decision,'Life Cycle Assessment Data'!$F$45-'Life Cycle Assessment Data'!$F$30,0)</f>
        <v>0</v>
      </c>
      <c r="N92" s="130">
        <f>IF(N71=year_of_decision,'Life Cycle Assessment Data'!$F$45-'Life Cycle Assessment Data'!$F$30,0)</f>
        <v>0</v>
      </c>
      <c r="O92" s="130">
        <f>IF(O71=year_of_decision,'Life Cycle Assessment Data'!$F$45-'Life Cycle Assessment Data'!$F$30,0)</f>
        <v>0</v>
      </c>
      <c r="P92" s="130">
        <f>IF(P71=year_of_decision,'Life Cycle Assessment Data'!$F$45-'Life Cycle Assessment Data'!$F$30,0)</f>
        <v>0</v>
      </c>
      <c r="Q92" s="130">
        <f>IF(Q71=year_of_decision,'Life Cycle Assessment Data'!$F$45-'Life Cycle Assessment Data'!$F$30,0)</f>
        <v>0</v>
      </c>
      <c r="R92" s="130">
        <f>IF(R71=year_of_decision,'Life Cycle Assessment Data'!$F$45-'Life Cycle Assessment Data'!$F$30,0)</f>
        <v>0</v>
      </c>
      <c r="S92" s="130">
        <f>IF(S71=year_of_decision,'Life Cycle Assessment Data'!$F$45-'Life Cycle Assessment Data'!$F$30,0)</f>
        <v>0</v>
      </c>
      <c r="T92" s="130">
        <f>IF(T71=year_of_decision,'Life Cycle Assessment Data'!$F$45-'Life Cycle Assessment Data'!$F$30,0)</f>
        <v>0</v>
      </c>
      <c r="U92" s="130">
        <f>IF(U71=year_of_decision,'Life Cycle Assessment Data'!$F$45-'Life Cycle Assessment Data'!$F$30,0)</f>
        <v>0</v>
      </c>
      <c r="V92" s="130">
        <f>IF(V71=year_of_decision,'Life Cycle Assessment Data'!$F$45-'Life Cycle Assessment Data'!$F$30,0)</f>
        <v>0</v>
      </c>
      <c r="W92" s="130">
        <f>IF(W71=year_of_decision,'Life Cycle Assessment Data'!$F$45-'Life Cycle Assessment Data'!$F$30,0)</f>
        <v>0</v>
      </c>
      <c r="X92" s="130">
        <f>IF(X71=year_of_decision,'Life Cycle Assessment Data'!$F$45-'Life Cycle Assessment Data'!$F$30,0)</f>
        <v>0</v>
      </c>
      <c r="Y92" s="130">
        <f>IF(Y71=year_of_decision,'Life Cycle Assessment Data'!$F$45-'Life Cycle Assessment Data'!$F$30,0)</f>
        <v>0</v>
      </c>
      <c r="Z92" s="130">
        <f>IF(Z71=year_of_decision,'Life Cycle Assessment Data'!$F$45-'Life Cycle Assessment Data'!$F$30,0)</f>
        <v>0</v>
      </c>
      <c r="AA92" s="130">
        <f>IF(AA71=year_of_decision,'Life Cycle Assessment Data'!$F$45-'Life Cycle Assessment Data'!$F$30,0)</f>
        <v>0</v>
      </c>
      <c r="AB92" s="130">
        <f>IF(AB71=year_of_decision,'Life Cycle Assessment Data'!$F$45-'Life Cycle Assessment Data'!$F$30,0)</f>
        <v>0</v>
      </c>
      <c r="AC92" s="130">
        <f>IF(AC71=year_of_decision,'Life Cycle Assessment Data'!$F$45-'Life Cycle Assessment Data'!$F$30,0)</f>
        <v>0</v>
      </c>
      <c r="AD92" s="130">
        <f>IF(AD71=year_of_decision,'Life Cycle Assessment Data'!$F$45-'Life Cycle Assessment Data'!$F$30,0)</f>
        <v>0</v>
      </c>
      <c r="AE92" s="130">
        <f>IF(AE71=year_of_decision,'Life Cycle Assessment Data'!$F$45-'Life Cycle Assessment Data'!$F$30,0)</f>
        <v>0</v>
      </c>
      <c r="AF92" s="130">
        <f>IF(AF71=year_of_decision,'Life Cycle Assessment Data'!$F$45-'Life Cycle Assessment Data'!$F$30,0)</f>
        <v>0</v>
      </c>
      <c r="AG92" s="130">
        <f>IF(AG71=year_of_decision,'Life Cycle Assessment Data'!$F$45-'Life Cycle Assessment Data'!$F$30,0)</f>
        <v>0</v>
      </c>
      <c r="AH92" s="130">
        <f>IF(AH71=year_of_decision,'Life Cycle Assessment Data'!$F$45-'Life Cycle Assessment Data'!$F$30,0)</f>
        <v>0</v>
      </c>
      <c r="AI92" s="130">
        <f>IF(AI71=year_of_decision,'Life Cycle Assessment Data'!$F$45-'Life Cycle Assessment Data'!$F$30,0)</f>
        <v>0</v>
      </c>
      <c r="AJ92" s="130">
        <f>IF(AJ71=year_of_decision,'Life Cycle Assessment Data'!$F$45-'Life Cycle Assessment Data'!$F$30,0)</f>
        <v>0</v>
      </c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s="30" customFormat="1" x14ac:dyDescent="0.25">
      <c r="A93"/>
      <c r="B93" s="18" t="s">
        <v>167</v>
      </c>
      <c r="C93" s="130">
        <f>IF(C71=year_of_decision,'Life Cycle Assessment Data'!$G$45-'Life Cycle Assessment Data'!$G$30,0)</f>
        <v>0</v>
      </c>
      <c r="D93" s="130">
        <f>IF(D71=year_of_decision,'Life Cycle Assessment Data'!$G$45-'Life Cycle Assessment Data'!$G$30,0)</f>
        <v>0</v>
      </c>
      <c r="E93" s="130">
        <f>IF(E71=year_of_decision,'Life Cycle Assessment Data'!$G$45-'Life Cycle Assessment Data'!$G$30,0)</f>
        <v>0</v>
      </c>
      <c r="F93" s="130">
        <f>IF(F71=year_of_decision,'Life Cycle Assessment Data'!$G$45-'Life Cycle Assessment Data'!$G$30,0)</f>
        <v>0</v>
      </c>
      <c r="G93" s="130">
        <f>IF(G71=year_of_decision,'Life Cycle Assessment Data'!$G$45-'Life Cycle Assessment Data'!$G$30,0)</f>
        <v>0</v>
      </c>
      <c r="H93" s="130">
        <f>IF(H71=year_of_decision,'Life Cycle Assessment Data'!$G$45-'Life Cycle Assessment Data'!$G$30,0)</f>
        <v>0</v>
      </c>
      <c r="I93" s="130">
        <f>IF(I71=year_of_decision,'Life Cycle Assessment Data'!$G$45-'Life Cycle Assessment Data'!$G$30,0)</f>
        <v>0</v>
      </c>
      <c r="J93" s="130">
        <f>IF(J71=year_of_decision,'Life Cycle Assessment Data'!$G$45-'Life Cycle Assessment Data'!$G$30,0)</f>
        <v>0</v>
      </c>
      <c r="K93" s="130">
        <f>IF(K71=year_of_decision,'Life Cycle Assessment Data'!$G$45-'Life Cycle Assessment Data'!$G$30,0)</f>
        <v>4.0208399999999975E-10</v>
      </c>
      <c r="L93" s="130">
        <f>IF(L71=year_of_decision,'Life Cycle Assessment Data'!$G$45-'Life Cycle Assessment Data'!$G$30,0)</f>
        <v>0</v>
      </c>
      <c r="M93" s="130">
        <f>IF(M71=year_of_decision,'Life Cycle Assessment Data'!$G$45-'Life Cycle Assessment Data'!$G$30,0)</f>
        <v>0</v>
      </c>
      <c r="N93" s="130">
        <f>IF(N71=year_of_decision,'Life Cycle Assessment Data'!$G$45-'Life Cycle Assessment Data'!$G$30,0)</f>
        <v>0</v>
      </c>
      <c r="O93" s="130">
        <f>IF(O71=year_of_decision,'Life Cycle Assessment Data'!$G$45-'Life Cycle Assessment Data'!$G$30,0)</f>
        <v>0</v>
      </c>
      <c r="P93" s="130">
        <f>IF(P71=year_of_decision,'Life Cycle Assessment Data'!$G$45-'Life Cycle Assessment Data'!$G$30,0)</f>
        <v>0</v>
      </c>
      <c r="Q93" s="130">
        <f>IF(Q71=year_of_decision,'Life Cycle Assessment Data'!$G$45-'Life Cycle Assessment Data'!$G$30,0)</f>
        <v>0</v>
      </c>
      <c r="R93" s="130">
        <f>IF(R71=year_of_decision,'Life Cycle Assessment Data'!$G$45-'Life Cycle Assessment Data'!$G$30,0)</f>
        <v>0</v>
      </c>
      <c r="S93" s="130">
        <f>IF(S71=year_of_decision,'Life Cycle Assessment Data'!$G$45-'Life Cycle Assessment Data'!$G$30,0)</f>
        <v>0</v>
      </c>
      <c r="T93" s="130">
        <f>IF(T71=year_of_decision,'Life Cycle Assessment Data'!$G$45-'Life Cycle Assessment Data'!$G$30,0)</f>
        <v>0</v>
      </c>
      <c r="U93" s="130">
        <f>IF(U71=year_of_decision,'Life Cycle Assessment Data'!$G$45-'Life Cycle Assessment Data'!$G$30,0)</f>
        <v>0</v>
      </c>
      <c r="V93" s="130">
        <f>IF(V71=year_of_decision,'Life Cycle Assessment Data'!$G$45-'Life Cycle Assessment Data'!$G$30,0)</f>
        <v>0</v>
      </c>
      <c r="W93" s="130">
        <f>IF(W71=year_of_decision,'Life Cycle Assessment Data'!$G$45-'Life Cycle Assessment Data'!$G$30,0)</f>
        <v>0</v>
      </c>
      <c r="X93" s="130">
        <f>IF(X71=year_of_decision,'Life Cycle Assessment Data'!$G$45-'Life Cycle Assessment Data'!$G$30,0)</f>
        <v>0</v>
      </c>
      <c r="Y93" s="130">
        <f>IF(Y71=year_of_decision,'Life Cycle Assessment Data'!$G$45-'Life Cycle Assessment Data'!$G$30,0)</f>
        <v>0</v>
      </c>
      <c r="Z93" s="130">
        <f>IF(Z71=year_of_decision,'Life Cycle Assessment Data'!$G$45-'Life Cycle Assessment Data'!$G$30,0)</f>
        <v>0</v>
      </c>
      <c r="AA93" s="130">
        <f>IF(AA71=year_of_decision,'Life Cycle Assessment Data'!$G$45-'Life Cycle Assessment Data'!$G$30,0)</f>
        <v>0</v>
      </c>
      <c r="AB93" s="130">
        <f>IF(AB71=year_of_decision,'Life Cycle Assessment Data'!$G$45-'Life Cycle Assessment Data'!$G$30,0)</f>
        <v>0</v>
      </c>
      <c r="AC93" s="130">
        <f>IF(AC71=year_of_decision,'Life Cycle Assessment Data'!$G$45-'Life Cycle Assessment Data'!$G$30,0)</f>
        <v>0</v>
      </c>
      <c r="AD93" s="130">
        <f>IF(AD71=year_of_decision,'Life Cycle Assessment Data'!$G$45-'Life Cycle Assessment Data'!$G$30,0)</f>
        <v>0</v>
      </c>
      <c r="AE93" s="130">
        <f>IF(AE71=year_of_decision,'Life Cycle Assessment Data'!$G$45-'Life Cycle Assessment Data'!$G$30,0)</f>
        <v>0</v>
      </c>
      <c r="AF93" s="130">
        <f>IF(AF71=year_of_decision,'Life Cycle Assessment Data'!$G$45-'Life Cycle Assessment Data'!$G$30,0)</f>
        <v>0</v>
      </c>
      <c r="AG93" s="130">
        <f>IF(AG71=year_of_decision,'Life Cycle Assessment Data'!$G$45-'Life Cycle Assessment Data'!$G$30,0)</f>
        <v>0</v>
      </c>
      <c r="AH93" s="130">
        <f>IF(AH71=year_of_decision,'Life Cycle Assessment Data'!$G$45-'Life Cycle Assessment Data'!$G$30,0)</f>
        <v>0</v>
      </c>
      <c r="AI93" s="130">
        <f>IF(AI71=year_of_decision,'Life Cycle Assessment Data'!$G$45-'Life Cycle Assessment Data'!$G$30,0)</f>
        <v>0</v>
      </c>
      <c r="AJ93" s="130">
        <f>'Life Cycle Assessment Data'!$I$45-'Life Cycle Assessment Data'!$I$30</f>
        <v>4.0208399999999975E-10</v>
      </c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s="30" customFormat="1" x14ac:dyDescent="0.25">
      <c r="A94"/>
      <c r="B94" s="18" t="s">
        <v>178</v>
      </c>
      <c r="C94" s="130">
        <f>IF(year_of_decision=C71,'Life Cycle Assessment Data'!$I$30,0)</f>
        <v>0</v>
      </c>
      <c r="D94" s="130">
        <f>IF(year_of_decision=D71,'Life Cycle Assessment Data'!$I$30,0)</f>
        <v>0</v>
      </c>
      <c r="E94" s="130">
        <f>IF(year_of_decision=E71,'Life Cycle Assessment Data'!$I$30,0)</f>
        <v>0</v>
      </c>
      <c r="F94" s="130">
        <f>IF(year_of_decision=F71,'Life Cycle Assessment Data'!$I$30,0)</f>
        <v>0</v>
      </c>
      <c r="G94" s="130">
        <f>IF(year_of_decision=G71,'Life Cycle Assessment Data'!$I$30,0)</f>
        <v>0</v>
      </c>
      <c r="H94" s="130">
        <f>IF(year_of_decision=H71,'Life Cycle Assessment Data'!$I$30,0)</f>
        <v>0</v>
      </c>
      <c r="I94" s="130">
        <f>IF(year_of_decision=I71,'Life Cycle Assessment Data'!$I$30,0)</f>
        <v>0</v>
      </c>
      <c r="J94" s="130">
        <f>IF(year_of_decision=J71,'Life Cycle Assessment Data'!$I$30,0)</f>
        <v>0</v>
      </c>
      <c r="K94" s="130">
        <f>IF(year_of_decision=K71,'Life Cycle Assessment Data'!$I$30,0)</f>
        <v>1.3961250000000001E-9</v>
      </c>
      <c r="L94" s="130">
        <f>IF(year_of_decision=L71,'Life Cycle Assessment Data'!$I$30,0)</f>
        <v>0</v>
      </c>
      <c r="M94" s="130">
        <f>IF(year_of_decision=M71,'Life Cycle Assessment Data'!$I$30,0)</f>
        <v>0</v>
      </c>
      <c r="N94" s="130">
        <f>IF(year_of_decision=N71,'Life Cycle Assessment Data'!$I$30,0)</f>
        <v>0</v>
      </c>
      <c r="O94" s="130">
        <f>IF(year_of_decision=O71,'Life Cycle Assessment Data'!$I$30,0)</f>
        <v>0</v>
      </c>
      <c r="P94" s="130">
        <f>IF(year_of_decision=P71,'Life Cycle Assessment Data'!$I$30,0)</f>
        <v>0</v>
      </c>
      <c r="Q94" s="130">
        <f>IF(year_of_decision=Q71,'Life Cycle Assessment Data'!$I$30,0)</f>
        <v>0</v>
      </c>
      <c r="R94" s="130">
        <f>IF(year_of_decision=R71,'Life Cycle Assessment Data'!$I$30,0)</f>
        <v>0</v>
      </c>
      <c r="S94" s="130">
        <f>IF(year_of_decision=S71,'Life Cycle Assessment Data'!$I$30,0)</f>
        <v>0</v>
      </c>
      <c r="T94" s="130">
        <f>IF(year_of_decision=T71,'Life Cycle Assessment Data'!$I$30,0)</f>
        <v>0</v>
      </c>
      <c r="U94" s="130">
        <f>IF(year_of_decision=U71,'Life Cycle Assessment Data'!$I$30,0)</f>
        <v>0</v>
      </c>
      <c r="V94" s="130">
        <f>IF(year_of_decision=V71,'Life Cycle Assessment Data'!$I$30,0)</f>
        <v>0</v>
      </c>
      <c r="W94" s="130">
        <f>IF(year_of_decision=W71,'Life Cycle Assessment Data'!$I$30,0)</f>
        <v>0</v>
      </c>
      <c r="X94" s="130">
        <f>IF(year_of_decision=X71,'Life Cycle Assessment Data'!$I$30,0)</f>
        <v>0</v>
      </c>
      <c r="Y94" s="130">
        <f>IF(year_of_decision=Y71,'Life Cycle Assessment Data'!$I$30,0)</f>
        <v>0</v>
      </c>
      <c r="Z94" s="130">
        <f>IF(year_of_decision=Z71,'Life Cycle Assessment Data'!$I$30,0)</f>
        <v>0</v>
      </c>
      <c r="AA94" s="130">
        <f>IF(year_of_decision=AA71,'Life Cycle Assessment Data'!$I$30,0)</f>
        <v>0</v>
      </c>
      <c r="AB94" s="130">
        <f>IF(year_of_decision=AB71,'Life Cycle Assessment Data'!$I$30,0)</f>
        <v>0</v>
      </c>
      <c r="AC94" s="130">
        <f>IF(year_of_decision=AC71,'Life Cycle Assessment Data'!$I$30,0)</f>
        <v>0</v>
      </c>
      <c r="AD94" s="130">
        <f>IF(year_of_decision=AD71,'Life Cycle Assessment Data'!$I$30,0)</f>
        <v>0</v>
      </c>
      <c r="AE94" s="130">
        <f>IF(year_of_decision=AE71,'Life Cycle Assessment Data'!$I$30,0)</f>
        <v>0</v>
      </c>
      <c r="AF94" s="130">
        <f>IF(year_of_decision=AF71,'Life Cycle Assessment Data'!$I$30,0)</f>
        <v>0</v>
      </c>
      <c r="AG94" s="130">
        <f>IF(year_of_decision=AG71,'Life Cycle Assessment Data'!$I$30,0)</f>
        <v>0</v>
      </c>
      <c r="AH94" s="130">
        <f>IF(year_of_decision=AH71,'Life Cycle Assessment Data'!$I$30,0)</f>
        <v>0</v>
      </c>
      <c r="AI94" s="130">
        <f>IF(year_of_decision=AI71,'Life Cycle Assessment Data'!$I$30,0)</f>
        <v>0</v>
      </c>
      <c r="AJ94" s="130">
        <f>IF(year_of_decision=AJ71,'Life Cycle Assessment Data'!$I$29,0)</f>
        <v>0</v>
      </c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s="30" customFormat="1" x14ac:dyDescent="0.25">
      <c r="A95"/>
      <c r="B95" s="18" t="s">
        <v>176</v>
      </c>
      <c r="C95" s="130">
        <v>0</v>
      </c>
      <c r="D95" s="130">
        <v>0</v>
      </c>
      <c r="E95" s="130">
        <v>0</v>
      </c>
      <c r="F95" s="130">
        <f>('Life Cycle Assessment Data'!$K$15+'Life Cycle Assessment Data'!$J$15)*heat_rate/(fuel_energy_per_mass*1000)</f>
        <v>1.1319902381945314E-11</v>
      </c>
      <c r="G95" s="130">
        <f>('Life Cycle Assessment Data'!$K$15+'Life Cycle Assessment Data'!$J$15)*heat_rate/(fuel_energy_per_mass*1000)</f>
        <v>1.1319902381945314E-11</v>
      </c>
      <c r="H95" s="130">
        <f>('Life Cycle Assessment Data'!$K$15+'Life Cycle Assessment Data'!$J$15)*heat_rate/(fuel_energy_per_mass*1000)</f>
        <v>1.1319902381945314E-11</v>
      </c>
      <c r="I95" s="130">
        <f>('Life Cycle Assessment Data'!$K$15+'Life Cycle Assessment Data'!$J$15)*heat_rate/(fuel_energy_per_mass*1000)</f>
        <v>1.1319902381945314E-11</v>
      </c>
      <c r="J95" s="130">
        <f>('Life Cycle Assessment Data'!$K$15+'Life Cycle Assessment Data'!$J$15)*heat_rate/(fuel_energy_per_mass*1000)</f>
        <v>1.1319902381945314E-11</v>
      </c>
      <c r="K95" s="130">
        <f>('Life Cycle Assessment Data'!$K$15+'Life Cycle Assessment Data'!$J$15)*heat_rate/(fuel_energy_per_mass*1000)</f>
        <v>1.1319902381945314E-11</v>
      </c>
      <c r="L95" s="130">
        <f>('Life Cycle Assessment Data'!$K$15+'Life Cycle Assessment Data'!$J$15)*heat_rate/(fuel_energy_per_mass*1000)</f>
        <v>1.1319902381945314E-11</v>
      </c>
      <c r="M95" s="130">
        <f>('Life Cycle Assessment Data'!$K$15+'Life Cycle Assessment Data'!$J$15)*heat_rate/(fuel_energy_per_mass*1000)</f>
        <v>1.1319902381945314E-11</v>
      </c>
      <c r="N95" s="130">
        <f>('Life Cycle Assessment Data'!$K$15+'Life Cycle Assessment Data'!$J$15)*heat_rate/(fuel_energy_per_mass*1000)</f>
        <v>1.1319902381945314E-11</v>
      </c>
      <c r="O95" s="130">
        <f>('Life Cycle Assessment Data'!$K$15+'Life Cycle Assessment Data'!$J$15)*heat_rate/(fuel_energy_per_mass*1000)</f>
        <v>1.1319902381945314E-11</v>
      </c>
      <c r="P95" s="130">
        <f>('Life Cycle Assessment Data'!$K$15+'Life Cycle Assessment Data'!$J$15)*heat_rate/(fuel_energy_per_mass*1000)</f>
        <v>1.1319902381945314E-11</v>
      </c>
      <c r="Q95" s="130">
        <f>('Life Cycle Assessment Data'!$K$15+'Life Cycle Assessment Data'!$J$15)*heat_rate/(fuel_energy_per_mass*1000)</f>
        <v>1.1319902381945314E-11</v>
      </c>
      <c r="R95" s="130">
        <f>('Life Cycle Assessment Data'!$K$15+'Life Cycle Assessment Data'!$J$15)*heat_rate/(fuel_energy_per_mass*1000)</f>
        <v>1.1319902381945314E-11</v>
      </c>
      <c r="S95" s="130">
        <f>('Life Cycle Assessment Data'!$K$15+'Life Cycle Assessment Data'!$J$15)*heat_rate/(fuel_energy_per_mass*1000)</f>
        <v>1.1319902381945314E-11</v>
      </c>
      <c r="T95" s="130">
        <f>('Life Cycle Assessment Data'!$K$15+'Life Cycle Assessment Data'!$J$15)*heat_rate/(fuel_energy_per_mass*1000)</f>
        <v>1.1319902381945314E-11</v>
      </c>
      <c r="U95" s="130">
        <f>('Life Cycle Assessment Data'!$K$15+'Life Cycle Assessment Data'!$J$15)*heat_rate/(fuel_energy_per_mass*1000)</f>
        <v>1.1319902381945314E-11</v>
      </c>
      <c r="V95" s="130">
        <f>('Life Cycle Assessment Data'!$K$15+'Life Cycle Assessment Data'!$J$15)*heat_rate/(fuel_energy_per_mass*1000)</f>
        <v>1.1319902381945314E-11</v>
      </c>
      <c r="W95" s="130">
        <f>('Life Cycle Assessment Data'!$K$15+'Life Cycle Assessment Data'!$J$15)*heat_rate/(fuel_energy_per_mass*1000)</f>
        <v>1.1319902381945314E-11</v>
      </c>
      <c r="X95" s="130">
        <f>('Life Cycle Assessment Data'!$K$15+'Life Cycle Assessment Data'!$J$15)*heat_rate/(fuel_energy_per_mass*1000)</f>
        <v>1.1319902381945314E-11</v>
      </c>
      <c r="Y95" s="130">
        <f>('Life Cycle Assessment Data'!$K$15+'Life Cycle Assessment Data'!$J$15)*heat_rate/(fuel_energy_per_mass*1000)</f>
        <v>1.1319902381945314E-11</v>
      </c>
      <c r="Z95" s="130">
        <f>('Life Cycle Assessment Data'!$K$15+'Life Cycle Assessment Data'!$J$15)*heat_rate/(fuel_energy_per_mass*1000)</f>
        <v>1.1319902381945314E-11</v>
      </c>
      <c r="AA95" s="130">
        <f>('Life Cycle Assessment Data'!$K$15+'Life Cycle Assessment Data'!$J$15)*heat_rate/(fuel_energy_per_mass*1000)</f>
        <v>1.1319902381945314E-11</v>
      </c>
      <c r="AB95" s="130">
        <f>('Life Cycle Assessment Data'!$K$15+'Life Cycle Assessment Data'!$J$15)*heat_rate/(fuel_energy_per_mass*1000)</f>
        <v>1.1319902381945314E-11</v>
      </c>
      <c r="AC95" s="130">
        <f>('Life Cycle Assessment Data'!$K$15+'Life Cycle Assessment Data'!$J$15)*heat_rate/(fuel_energy_per_mass*1000)</f>
        <v>1.1319902381945314E-11</v>
      </c>
      <c r="AD95" s="130">
        <f>('Life Cycle Assessment Data'!$K$15+'Life Cycle Assessment Data'!$J$15)*heat_rate/(fuel_energy_per_mass*1000)</f>
        <v>1.1319902381945314E-11</v>
      </c>
      <c r="AE95" s="130">
        <f>('Life Cycle Assessment Data'!$K$15+'Life Cycle Assessment Data'!$J$15)*heat_rate/(fuel_energy_per_mass*1000)</f>
        <v>1.1319902381945314E-11</v>
      </c>
      <c r="AF95" s="130">
        <f>('Life Cycle Assessment Data'!$K$15+'Life Cycle Assessment Data'!$J$15)*heat_rate/(fuel_energy_per_mass*1000)</f>
        <v>1.1319902381945314E-11</v>
      </c>
      <c r="AG95" s="130">
        <f>('Life Cycle Assessment Data'!$K$15+'Life Cycle Assessment Data'!$J$15)*heat_rate/(fuel_energy_per_mass*1000)</f>
        <v>1.1319902381945314E-11</v>
      </c>
      <c r="AH95" s="130">
        <f>('Life Cycle Assessment Data'!$K$15+'Life Cycle Assessment Data'!$J$15)*heat_rate/(fuel_energy_per_mass*1000)</f>
        <v>1.1319902381945314E-11</v>
      </c>
      <c r="AI95" s="130">
        <f>('Life Cycle Assessment Data'!$K$15+'Life Cycle Assessment Data'!$J$15)*heat_rate/(fuel_energy_per_mass*1000)</f>
        <v>1.1319902381945314E-11</v>
      </c>
      <c r="AJ95" s="130">
        <f>('Life Cycle Assessment Data'!$K$15+'Life Cycle Assessment Data'!$J$15)*heat_rate/(fuel_energy_per_mass*1000)</f>
        <v>1.1319902381945314E-11</v>
      </c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s="30" customFormat="1" x14ac:dyDescent="0.25">
      <c r="A96"/>
      <c r="B96" s="18" t="s">
        <v>168</v>
      </c>
      <c r="C96" s="117">
        <v>0</v>
      </c>
      <c r="D96" s="117">
        <v>0</v>
      </c>
      <c r="E96" s="117">
        <v>0</v>
      </c>
      <c r="F96" s="117">
        <f>'Life Cycle Assessment Data'!$L$15*heat_rate/(fuel_energy_per_mass*1000)</f>
        <v>4.6615556536279812E-11</v>
      </c>
      <c r="G96" s="117">
        <f>'Life Cycle Assessment Data'!$L$15*heat_rate/(fuel_energy_per_mass*1000)</f>
        <v>4.6615556536279812E-11</v>
      </c>
      <c r="H96" s="117">
        <f>'Life Cycle Assessment Data'!$L$15*heat_rate/(fuel_energy_per_mass*1000)</f>
        <v>4.6615556536279812E-11</v>
      </c>
      <c r="I96" s="117">
        <f>'Life Cycle Assessment Data'!$L$15*heat_rate/(fuel_energy_per_mass*1000)</f>
        <v>4.6615556536279812E-11</v>
      </c>
      <c r="J96" s="117">
        <f>'Life Cycle Assessment Data'!$L$15*heat_rate/(fuel_energy_per_mass*1000)</f>
        <v>4.6615556536279812E-11</v>
      </c>
      <c r="K96" s="117">
        <f>'Life Cycle Assessment Data'!$L$15*heat_rate/(fuel_energy_per_mass*1000)</f>
        <v>4.6615556536279812E-11</v>
      </c>
      <c r="L96" s="117">
        <f>'Life Cycle Assessment Data'!$L$15*heat_rate/(fuel_energy_per_mass*1000)</f>
        <v>4.6615556536279812E-11</v>
      </c>
      <c r="M96" s="117">
        <f>'Life Cycle Assessment Data'!$L$15*heat_rate/(fuel_energy_per_mass*1000)</f>
        <v>4.6615556536279812E-11</v>
      </c>
      <c r="N96" s="117">
        <f>'Life Cycle Assessment Data'!$L$15*heat_rate/(fuel_energy_per_mass*1000)</f>
        <v>4.6615556536279812E-11</v>
      </c>
      <c r="O96" s="117">
        <f>'Life Cycle Assessment Data'!$L$15*heat_rate/(fuel_energy_per_mass*1000)</f>
        <v>4.6615556536279812E-11</v>
      </c>
      <c r="P96" s="117">
        <f>'Life Cycle Assessment Data'!$L$15*heat_rate/(fuel_energy_per_mass*1000)</f>
        <v>4.6615556536279812E-11</v>
      </c>
      <c r="Q96" s="117">
        <f>'Life Cycle Assessment Data'!$L$15*heat_rate/(fuel_energy_per_mass*1000)</f>
        <v>4.6615556536279812E-11</v>
      </c>
      <c r="R96" s="117">
        <f>'Life Cycle Assessment Data'!$L$15*heat_rate/(fuel_energy_per_mass*1000)</f>
        <v>4.6615556536279812E-11</v>
      </c>
      <c r="S96" s="117">
        <f>'Life Cycle Assessment Data'!$L$15*heat_rate/(fuel_energy_per_mass*1000)</f>
        <v>4.6615556536279812E-11</v>
      </c>
      <c r="T96" s="117">
        <f>'Life Cycle Assessment Data'!$L$15*heat_rate/(fuel_energy_per_mass*1000)</f>
        <v>4.6615556536279812E-11</v>
      </c>
      <c r="U96" s="117">
        <f>'Life Cycle Assessment Data'!$L$15*heat_rate/(fuel_energy_per_mass*1000)</f>
        <v>4.6615556536279812E-11</v>
      </c>
      <c r="V96" s="117">
        <f>'Life Cycle Assessment Data'!$L$15*heat_rate/(fuel_energy_per_mass*1000)</f>
        <v>4.6615556536279812E-11</v>
      </c>
      <c r="W96" s="117">
        <f>'Life Cycle Assessment Data'!$L$15*heat_rate/(fuel_energy_per_mass*1000)</f>
        <v>4.6615556536279812E-11</v>
      </c>
      <c r="X96" s="117">
        <f>'Life Cycle Assessment Data'!$L$15*heat_rate/(fuel_energy_per_mass*1000)</f>
        <v>4.6615556536279812E-11</v>
      </c>
      <c r="Y96" s="117">
        <f>'Life Cycle Assessment Data'!$L$15*heat_rate/(fuel_energy_per_mass*1000)</f>
        <v>4.6615556536279812E-11</v>
      </c>
      <c r="Z96" s="117">
        <f>'Life Cycle Assessment Data'!$L$15*heat_rate/(fuel_energy_per_mass*1000)</f>
        <v>4.6615556536279812E-11</v>
      </c>
      <c r="AA96" s="117">
        <f>'Life Cycle Assessment Data'!$L$15*heat_rate/(fuel_energy_per_mass*1000)</f>
        <v>4.6615556536279812E-11</v>
      </c>
      <c r="AB96" s="117">
        <f>'Life Cycle Assessment Data'!$L$15*heat_rate/(fuel_energy_per_mass*1000)</f>
        <v>4.6615556536279812E-11</v>
      </c>
      <c r="AC96" s="117">
        <f>'Life Cycle Assessment Data'!$L$15*heat_rate/(fuel_energy_per_mass*1000)</f>
        <v>4.6615556536279812E-11</v>
      </c>
      <c r="AD96" s="117">
        <f>'Life Cycle Assessment Data'!$L$15*heat_rate/(fuel_energy_per_mass*1000)</f>
        <v>4.6615556536279812E-11</v>
      </c>
      <c r="AE96" s="117">
        <f>'Life Cycle Assessment Data'!$L$15*heat_rate/(fuel_energy_per_mass*1000)</f>
        <v>4.6615556536279812E-11</v>
      </c>
      <c r="AF96" s="117">
        <f>'Life Cycle Assessment Data'!$L$15*heat_rate/(fuel_energy_per_mass*1000)</f>
        <v>4.6615556536279812E-11</v>
      </c>
      <c r="AG96" s="117">
        <f>'Life Cycle Assessment Data'!$L$15*heat_rate/(fuel_energy_per_mass*1000)</f>
        <v>4.6615556536279812E-11</v>
      </c>
      <c r="AH96" s="117">
        <f>'Life Cycle Assessment Data'!$L$15*heat_rate/(fuel_energy_per_mass*1000)</f>
        <v>4.6615556536279812E-11</v>
      </c>
      <c r="AI96" s="117">
        <f>'Life Cycle Assessment Data'!$L$15*heat_rate/(fuel_energy_per_mass*1000)</f>
        <v>4.6615556536279812E-11</v>
      </c>
      <c r="AJ96" s="117">
        <f>'Life Cycle Assessment Data'!$L$15*heat_rate/(fuel_energy_per_mass*1000)</f>
        <v>4.6615556536279812E-11</v>
      </c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s="30" customFormat="1" x14ac:dyDescent="0.25">
      <c r="A97"/>
      <c r="B97" s="18" t="s">
        <v>318</v>
      </c>
      <c r="C97" s="117">
        <f t="shared" ref="C97:AJ97" si="12">C95*heat_rate_CCS/heat_rate</f>
        <v>0</v>
      </c>
      <c r="D97" s="117">
        <f t="shared" si="12"/>
        <v>0</v>
      </c>
      <c r="E97" s="117">
        <f t="shared" si="12"/>
        <v>0</v>
      </c>
      <c r="F97" s="117">
        <f t="shared" si="12"/>
        <v>1.3215327897061738E-11</v>
      </c>
      <c r="G97" s="117">
        <f t="shared" si="12"/>
        <v>1.3215327897061738E-11</v>
      </c>
      <c r="H97" s="117">
        <f t="shared" si="12"/>
        <v>1.3215327897061738E-11</v>
      </c>
      <c r="I97" s="117">
        <f t="shared" si="12"/>
        <v>1.3215327897061738E-11</v>
      </c>
      <c r="J97" s="117">
        <f t="shared" si="12"/>
        <v>1.3215327897061738E-11</v>
      </c>
      <c r="K97" s="117">
        <f t="shared" si="12"/>
        <v>1.3215327897061738E-11</v>
      </c>
      <c r="L97" s="117">
        <f t="shared" si="12"/>
        <v>1.3215327897061738E-11</v>
      </c>
      <c r="M97" s="117">
        <f t="shared" si="12"/>
        <v>1.3215327897061738E-11</v>
      </c>
      <c r="N97" s="117">
        <f t="shared" si="12"/>
        <v>1.3215327897061738E-11</v>
      </c>
      <c r="O97" s="117">
        <f t="shared" si="12"/>
        <v>1.3215327897061738E-11</v>
      </c>
      <c r="P97" s="117">
        <f t="shared" si="12"/>
        <v>1.3215327897061738E-11</v>
      </c>
      <c r="Q97" s="117">
        <f t="shared" si="12"/>
        <v>1.3215327897061738E-11</v>
      </c>
      <c r="R97" s="117">
        <f t="shared" si="12"/>
        <v>1.3215327897061738E-11</v>
      </c>
      <c r="S97" s="117">
        <f t="shared" si="12"/>
        <v>1.3215327897061738E-11</v>
      </c>
      <c r="T97" s="117">
        <f t="shared" si="12"/>
        <v>1.3215327897061738E-11</v>
      </c>
      <c r="U97" s="117">
        <f t="shared" si="12"/>
        <v>1.3215327897061738E-11</v>
      </c>
      <c r="V97" s="117">
        <f t="shared" si="12"/>
        <v>1.3215327897061738E-11</v>
      </c>
      <c r="W97" s="117">
        <f t="shared" si="12"/>
        <v>1.3215327897061738E-11</v>
      </c>
      <c r="X97" s="117">
        <f t="shared" si="12"/>
        <v>1.3215327897061738E-11</v>
      </c>
      <c r="Y97" s="117">
        <f t="shared" si="12"/>
        <v>1.3215327897061738E-11</v>
      </c>
      <c r="Z97" s="117">
        <f t="shared" si="12"/>
        <v>1.3215327897061738E-11</v>
      </c>
      <c r="AA97" s="117">
        <f t="shared" si="12"/>
        <v>1.3215327897061738E-11</v>
      </c>
      <c r="AB97" s="117">
        <f t="shared" si="12"/>
        <v>1.3215327897061738E-11</v>
      </c>
      <c r="AC97" s="117">
        <f t="shared" si="12"/>
        <v>1.3215327897061738E-11</v>
      </c>
      <c r="AD97" s="117">
        <f t="shared" si="12"/>
        <v>1.3215327897061738E-11</v>
      </c>
      <c r="AE97" s="117">
        <f t="shared" si="12"/>
        <v>1.3215327897061738E-11</v>
      </c>
      <c r="AF97" s="117">
        <f t="shared" si="12"/>
        <v>1.3215327897061738E-11</v>
      </c>
      <c r="AG97" s="117">
        <f t="shared" si="12"/>
        <v>1.3215327897061738E-11</v>
      </c>
      <c r="AH97" s="117">
        <f t="shared" si="12"/>
        <v>1.3215327897061738E-11</v>
      </c>
      <c r="AI97" s="117">
        <f t="shared" si="12"/>
        <v>1.3215327897061738E-11</v>
      </c>
      <c r="AJ97" s="117">
        <f t="shared" si="12"/>
        <v>1.3215327897061738E-11</v>
      </c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s="30" customFormat="1" x14ac:dyDescent="0.25">
      <c r="A98"/>
      <c r="B98" s="18" t="s">
        <v>319</v>
      </c>
      <c r="C98" s="117">
        <f t="shared" ref="C98:AJ98" si="13">C96*heat_rate_CCS/heat_rate</f>
        <v>0</v>
      </c>
      <c r="D98" s="117">
        <f t="shared" si="13"/>
        <v>0</v>
      </c>
      <c r="E98" s="117">
        <f t="shared" si="13"/>
        <v>0</v>
      </c>
      <c r="F98" s="117">
        <f t="shared" si="13"/>
        <v>5.4420952049331318E-11</v>
      </c>
      <c r="G98" s="117">
        <f t="shared" si="13"/>
        <v>5.4420952049331318E-11</v>
      </c>
      <c r="H98" s="117">
        <f t="shared" si="13"/>
        <v>5.4420952049331318E-11</v>
      </c>
      <c r="I98" s="117">
        <f t="shared" si="13"/>
        <v>5.4420952049331318E-11</v>
      </c>
      <c r="J98" s="117">
        <f t="shared" si="13"/>
        <v>5.4420952049331318E-11</v>
      </c>
      <c r="K98" s="117">
        <f t="shared" si="13"/>
        <v>5.4420952049331318E-11</v>
      </c>
      <c r="L98" s="117">
        <f t="shared" si="13"/>
        <v>5.4420952049331318E-11</v>
      </c>
      <c r="M98" s="117">
        <f t="shared" si="13"/>
        <v>5.4420952049331318E-11</v>
      </c>
      <c r="N98" s="117">
        <f t="shared" si="13"/>
        <v>5.4420952049331318E-11</v>
      </c>
      <c r="O98" s="117">
        <f t="shared" si="13"/>
        <v>5.4420952049331318E-11</v>
      </c>
      <c r="P98" s="117">
        <f t="shared" si="13"/>
        <v>5.4420952049331318E-11</v>
      </c>
      <c r="Q98" s="117">
        <f t="shared" si="13"/>
        <v>5.4420952049331318E-11</v>
      </c>
      <c r="R98" s="117">
        <f t="shared" si="13"/>
        <v>5.4420952049331318E-11</v>
      </c>
      <c r="S98" s="117">
        <f t="shared" si="13"/>
        <v>5.4420952049331318E-11</v>
      </c>
      <c r="T98" s="117">
        <f t="shared" si="13"/>
        <v>5.4420952049331318E-11</v>
      </c>
      <c r="U98" s="117">
        <f t="shared" si="13"/>
        <v>5.4420952049331318E-11</v>
      </c>
      <c r="V98" s="117">
        <f t="shared" si="13"/>
        <v>5.4420952049331318E-11</v>
      </c>
      <c r="W98" s="117">
        <f t="shared" si="13"/>
        <v>5.4420952049331318E-11</v>
      </c>
      <c r="X98" s="117">
        <f t="shared" si="13"/>
        <v>5.4420952049331318E-11</v>
      </c>
      <c r="Y98" s="117">
        <f t="shared" si="13"/>
        <v>5.4420952049331318E-11</v>
      </c>
      <c r="Z98" s="117">
        <f t="shared" si="13"/>
        <v>5.4420952049331318E-11</v>
      </c>
      <c r="AA98" s="117">
        <f t="shared" si="13"/>
        <v>5.4420952049331318E-11</v>
      </c>
      <c r="AB98" s="117">
        <f t="shared" si="13"/>
        <v>5.4420952049331318E-11</v>
      </c>
      <c r="AC98" s="117">
        <f t="shared" si="13"/>
        <v>5.4420952049331318E-11</v>
      </c>
      <c r="AD98" s="117">
        <f t="shared" si="13"/>
        <v>5.4420952049331318E-11</v>
      </c>
      <c r="AE98" s="117">
        <f t="shared" si="13"/>
        <v>5.4420952049331318E-11</v>
      </c>
      <c r="AF98" s="117">
        <f t="shared" si="13"/>
        <v>5.4420952049331318E-11</v>
      </c>
      <c r="AG98" s="117">
        <f t="shared" si="13"/>
        <v>5.4420952049331318E-11</v>
      </c>
      <c r="AH98" s="117">
        <f t="shared" si="13"/>
        <v>5.4420952049331318E-11</v>
      </c>
      <c r="AI98" s="117">
        <f t="shared" si="13"/>
        <v>5.4420952049331318E-11</v>
      </c>
      <c r="AJ98" s="117">
        <f t="shared" si="13"/>
        <v>5.4420952049331318E-11</v>
      </c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s="30" customFormat="1" x14ac:dyDescent="0.25">
      <c r="A99"/>
      <c r="B99" s="18" t="s">
        <v>181</v>
      </c>
      <c r="C99" s="117">
        <v>0</v>
      </c>
      <c r="D99" s="117">
        <v>0</v>
      </c>
      <c r="E99" s="117">
        <v>0</v>
      </c>
      <c r="F99" s="117">
        <v>0</v>
      </c>
      <c r="G99" s="117">
        <v>0</v>
      </c>
      <c r="H99" s="117">
        <v>0</v>
      </c>
      <c r="I99" s="117">
        <v>0</v>
      </c>
      <c r="J99" s="117">
        <v>0</v>
      </c>
      <c r="K99" s="117">
        <v>0</v>
      </c>
      <c r="L99" s="117">
        <v>0</v>
      </c>
      <c r="M99" s="117">
        <v>0</v>
      </c>
      <c r="N99" s="117">
        <v>0</v>
      </c>
      <c r="O99" s="117">
        <v>0</v>
      </c>
      <c r="P99" s="117">
        <v>0</v>
      </c>
      <c r="Q99" s="117">
        <v>0</v>
      </c>
      <c r="R99" s="117">
        <v>0</v>
      </c>
      <c r="S99" s="117">
        <v>0</v>
      </c>
      <c r="T99" s="117">
        <v>0</v>
      </c>
      <c r="U99" s="117">
        <v>0</v>
      </c>
      <c r="V99" s="117">
        <v>0</v>
      </c>
      <c r="W99" s="117">
        <v>0</v>
      </c>
      <c r="X99" s="117">
        <v>0</v>
      </c>
      <c r="Y99" s="117">
        <v>0</v>
      </c>
      <c r="Z99" s="117">
        <v>0</v>
      </c>
      <c r="AA99" s="117">
        <v>0</v>
      </c>
      <c r="AB99" s="117">
        <v>0</v>
      </c>
      <c r="AC99" s="117">
        <v>0</v>
      </c>
      <c r="AD99" s="117">
        <v>0</v>
      </c>
      <c r="AE99" s="117">
        <v>0</v>
      </c>
      <c r="AF99" s="117">
        <v>0</v>
      </c>
      <c r="AG99" s="117">
        <v>0</v>
      </c>
      <c r="AH99" s="117">
        <v>0</v>
      </c>
      <c r="AI99" s="117">
        <v>0</v>
      </c>
      <c r="AJ99" s="117">
        <v>0</v>
      </c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s="30" customFormat="1" x14ac:dyDescent="0.25">
      <c r="A100"/>
      <c r="B100" s="18" t="s">
        <v>320</v>
      </c>
      <c r="C100" s="117">
        <f t="shared" ref="C100:AJ100" si="14">C99*heat_rate_CCS/heat_rate</f>
        <v>0</v>
      </c>
      <c r="D100" s="117">
        <f t="shared" si="14"/>
        <v>0</v>
      </c>
      <c r="E100" s="117">
        <f t="shared" si="14"/>
        <v>0</v>
      </c>
      <c r="F100" s="117">
        <f t="shared" si="14"/>
        <v>0</v>
      </c>
      <c r="G100" s="117">
        <f t="shared" si="14"/>
        <v>0</v>
      </c>
      <c r="H100" s="117">
        <f t="shared" si="14"/>
        <v>0</v>
      </c>
      <c r="I100" s="117">
        <f t="shared" si="14"/>
        <v>0</v>
      </c>
      <c r="J100" s="117">
        <f t="shared" si="14"/>
        <v>0</v>
      </c>
      <c r="K100" s="117">
        <f t="shared" si="14"/>
        <v>0</v>
      </c>
      <c r="L100" s="117">
        <f t="shared" si="14"/>
        <v>0</v>
      </c>
      <c r="M100" s="117">
        <f t="shared" si="14"/>
        <v>0</v>
      </c>
      <c r="N100" s="117">
        <f t="shared" si="14"/>
        <v>0</v>
      </c>
      <c r="O100" s="117">
        <f t="shared" si="14"/>
        <v>0</v>
      </c>
      <c r="P100" s="117">
        <f t="shared" si="14"/>
        <v>0</v>
      </c>
      <c r="Q100" s="117">
        <f t="shared" si="14"/>
        <v>0</v>
      </c>
      <c r="R100" s="117">
        <f t="shared" si="14"/>
        <v>0</v>
      </c>
      <c r="S100" s="117">
        <f t="shared" si="14"/>
        <v>0</v>
      </c>
      <c r="T100" s="117">
        <f t="shared" si="14"/>
        <v>0</v>
      </c>
      <c r="U100" s="117">
        <f t="shared" si="14"/>
        <v>0</v>
      </c>
      <c r="V100" s="117">
        <f t="shared" si="14"/>
        <v>0</v>
      </c>
      <c r="W100" s="117">
        <f t="shared" si="14"/>
        <v>0</v>
      </c>
      <c r="X100" s="117">
        <f t="shared" si="14"/>
        <v>0</v>
      </c>
      <c r="Y100" s="117">
        <f t="shared" si="14"/>
        <v>0</v>
      </c>
      <c r="Z100" s="117">
        <f t="shared" si="14"/>
        <v>0</v>
      </c>
      <c r="AA100" s="117">
        <f t="shared" si="14"/>
        <v>0</v>
      </c>
      <c r="AB100" s="117">
        <f t="shared" si="14"/>
        <v>0</v>
      </c>
      <c r="AC100" s="117">
        <f t="shared" si="14"/>
        <v>0</v>
      </c>
      <c r="AD100" s="117">
        <f t="shared" si="14"/>
        <v>0</v>
      </c>
      <c r="AE100" s="117">
        <f t="shared" si="14"/>
        <v>0</v>
      </c>
      <c r="AF100" s="117">
        <f t="shared" si="14"/>
        <v>0</v>
      </c>
      <c r="AG100" s="117">
        <f t="shared" si="14"/>
        <v>0</v>
      </c>
      <c r="AH100" s="117">
        <f t="shared" si="14"/>
        <v>0</v>
      </c>
      <c r="AI100" s="117">
        <f t="shared" si="14"/>
        <v>0</v>
      </c>
      <c r="AJ100" s="117">
        <f t="shared" si="14"/>
        <v>0</v>
      </c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s="30" customFormat="1" x14ac:dyDescent="0.25">
      <c r="A101"/>
      <c r="B101" s="18" t="s">
        <v>169</v>
      </c>
      <c r="C101" s="117">
        <v>0</v>
      </c>
      <c r="D101" s="117">
        <v>0</v>
      </c>
      <c r="E101" s="117">
        <v>0</v>
      </c>
      <c r="F101" s="130">
        <f>'Life Cycle Assessment Data'!$H$30</f>
        <v>2.0599999999999997E-12</v>
      </c>
      <c r="G101" s="130">
        <f>'Life Cycle Assessment Data'!$H$30</f>
        <v>2.0599999999999997E-12</v>
      </c>
      <c r="H101" s="130">
        <f>'Life Cycle Assessment Data'!$H$30</f>
        <v>2.0599999999999997E-12</v>
      </c>
      <c r="I101" s="130">
        <f>'Life Cycle Assessment Data'!$H$30</f>
        <v>2.0599999999999997E-12</v>
      </c>
      <c r="J101" s="130">
        <f>'Life Cycle Assessment Data'!$H$30</f>
        <v>2.0599999999999997E-12</v>
      </c>
      <c r="K101" s="130">
        <f>'Life Cycle Assessment Data'!$H$30</f>
        <v>2.0599999999999997E-12</v>
      </c>
      <c r="L101" s="130">
        <f>'Life Cycle Assessment Data'!$H$30</f>
        <v>2.0599999999999997E-12</v>
      </c>
      <c r="M101" s="130">
        <f>'Life Cycle Assessment Data'!$H$30</f>
        <v>2.0599999999999997E-12</v>
      </c>
      <c r="N101" s="130">
        <f>'Life Cycle Assessment Data'!$H$30</f>
        <v>2.0599999999999997E-12</v>
      </c>
      <c r="O101" s="130">
        <f>'Life Cycle Assessment Data'!$H$30</f>
        <v>2.0599999999999997E-12</v>
      </c>
      <c r="P101" s="130">
        <f>'Life Cycle Assessment Data'!$H$30</f>
        <v>2.0599999999999997E-12</v>
      </c>
      <c r="Q101" s="130">
        <f>'Life Cycle Assessment Data'!$H$30</f>
        <v>2.0599999999999997E-12</v>
      </c>
      <c r="R101" s="130">
        <f>'Life Cycle Assessment Data'!$H$30</f>
        <v>2.0599999999999997E-12</v>
      </c>
      <c r="S101" s="130">
        <f>'Life Cycle Assessment Data'!$H$30</f>
        <v>2.0599999999999997E-12</v>
      </c>
      <c r="T101" s="130">
        <f>'Life Cycle Assessment Data'!$H$30</f>
        <v>2.0599999999999997E-12</v>
      </c>
      <c r="U101" s="130">
        <f>'Life Cycle Assessment Data'!$H$30</f>
        <v>2.0599999999999997E-12</v>
      </c>
      <c r="V101" s="130">
        <f>'Life Cycle Assessment Data'!$H$30</f>
        <v>2.0599999999999997E-12</v>
      </c>
      <c r="W101" s="130">
        <f>'Life Cycle Assessment Data'!$H$30</f>
        <v>2.0599999999999997E-12</v>
      </c>
      <c r="X101" s="130">
        <f>'Life Cycle Assessment Data'!$H$30</f>
        <v>2.0599999999999997E-12</v>
      </c>
      <c r="Y101" s="130">
        <f>'Life Cycle Assessment Data'!$H$30</f>
        <v>2.0599999999999997E-12</v>
      </c>
      <c r="Z101" s="130">
        <f>'Life Cycle Assessment Data'!$H$30</f>
        <v>2.0599999999999997E-12</v>
      </c>
      <c r="AA101" s="130">
        <f>'Life Cycle Assessment Data'!$H$30</f>
        <v>2.0599999999999997E-12</v>
      </c>
      <c r="AB101" s="130">
        <f>'Life Cycle Assessment Data'!$H$30</f>
        <v>2.0599999999999997E-12</v>
      </c>
      <c r="AC101" s="130">
        <f>'Life Cycle Assessment Data'!$H$30</f>
        <v>2.0599999999999997E-12</v>
      </c>
      <c r="AD101" s="130">
        <f>'Life Cycle Assessment Data'!$H$30</f>
        <v>2.0599999999999997E-12</v>
      </c>
      <c r="AE101" s="130">
        <f>'Life Cycle Assessment Data'!$H$30</f>
        <v>2.0599999999999997E-12</v>
      </c>
      <c r="AF101" s="130">
        <f>'Life Cycle Assessment Data'!$H$30</f>
        <v>2.0599999999999997E-12</v>
      </c>
      <c r="AG101" s="130">
        <f>'Life Cycle Assessment Data'!$H$30</f>
        <v>2.0599999999999997E-12</v>
      </c>
      <c r="AH101" s="130">
        <f>'Life Cycle Assessment Data'!$H$30</f>
        <v>2.0599999999999997E-12</v>
      </c>
      <c r="AI101" s="130">
        <f>'Life Cycle Assessment Data'!$H$30</f>
        <v>2.0599999999999997E-12</v>
      </c>
      <c r="AJ101" s="130">
        <f>'Life Cycle Assessment Data'!$H$30</f>
        <v>2.0599999999999997E-12</v>
      </c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s="30" customFormat="1" x14ac:dyDescent="0.25">
      <c r="A102"/>
      <c r="B102" s="15" t="s">
        <v>170</v>
      </c>
      <c r="C102" s="117">
        <v>0</v>
      </c>
      <c r="D102" s="117">
        <v>0</v>
      </c>
      <c r="E102" s="117">
        <v>0</v>
      </c>
      <c r="F102" s="130">
        <f>'Life Cycle Assessment Data'!$H$45</f>
        <v>2.3900000000000001E-12</v>
      </c>
      <c r="G102" s="130">
        <f>'Life Cycle Assessment Data'!$H$45</f>
        <v>2.3900000000000001E-12</v>
      </c>
      <c r="H102" s="130">
        <f>'Life Cycle Assessment Data'!$H$45</f>
        <v>2.3900000000000001E-12</v>
      </c>
      <c r="I102" s="130">
        <f>'Life Cycle Assessment Data'!$H$45</f>
        <v>2.3900000000000001E-12</v>
      </c>
      <c r="J102" s="130">
        <f>'Life Cycle Assessment Data'!$H$45</f>
        <v>2.3900000000000001E-12</v>
      </c>
      <c r="K102" s="130">
        <f>'Life Cycle Assessment Data'!$H$45</f>
        <v>2.3900000000000001E-12</v>
      </c>
      <c r="L102" s="130">
        <f>'Life Cycle Assessment Data'!$H$45</f>
        <v>2.3900000000000001E-12</v>
      </c>
      <c r="M102" s="130">
        <f>'Life Cycle Assessment Data'!$H$45</f>
        <v>2.3900000000000001E-12</v>
      </c>
      <c r="N102" s="130">
        <f>'Life Cycle Assessment Data'!$H$45</f>
        <v>2.3900000000000001E-12</v>
      </c>
      <c r="O102" s="130">
        <f>'Life Cycle Assessment Data'!$H$45</f>
        <v>2.3900000000000001E-12</v>
      </c>
      <c r="P102" s="130">
        <f>'Life Cycle Assessment Data'!$H$45</f>
        <v>2.3900000000000001E-12</v>
      </c>
      <c r="Q102" s="130">
        <f>'Life Cycle Assessment Data'!$H$45</f>
        <v>2.3900000000000001E-12</v>
      </c>
      <c r="R102" s="130">
        <f>'Life Cycle Assessment Data'!$H$45</f>
        <v>2.3900000000000001E-12</v>
      </c>
      <c r="S102" s="130">
        <f>'Life Cycle Assessment Data'!$H$45</f>
        <v>2.3900000000000001E-12</v>
      </c>
      <c r="T102" s="130">
        <f>'Life Cycle Assessment Data'!$H$45</f>
        <v>2.3900000000000001E-12</v>
      </c>
      <c r="U102" s="130">
        <f>'Life Cycle Assessment Data'!$H$45</f>
        <v>2.3900000000000001E-12</v>
      </c>
      <c r="V102" s="130">
        <f>'Life Cycle Assessment Data'!$H$45</f>
        <v>2.3900000000000001E-12</v>
      </c>
      <c r="W102" s="130">
        <f>'Life Cycle Assessment Data'!$H$45</f>
        <v>2.3900000000000001E-12</v>
      </c>
      <c r="X102" s="130">
        <f>'Life Cycle Assessment Data'!$H$45</f>
        <v>2.3900000000000001E-12</v>
      </c>
      <c r="Y102" s="130">
        <f>'Life Cycle Assessment Data'!$H$45</f>
        <v>2.3900000000000001E-12</v>
      </c>
      <c r="Z102" s="130">
        <f>'Life Cycle Assessment Data'!$H$45</f>
        <v>2.3900000000000001E-12</v>
      </c>
      <c r="AA102" s="130">
        <f>'Life Cycle Assessment Data'!$H$45</f>
        <v>2.3900000000000001E-12</v>
      </c>
      <c r="AB102" s="130">
        <f>'Life Cycle Assessment Data'!$H$45</f>
        <v>2.3900000000000001E-12</v>
      </c>
      <c r="AC102" s="130">
        <f>'Life Cycle Assessment Data'!$H$45</f>
        <v>2.3900000000000001E-12</v>
      </c>
      <c r="AD102" s="130">
        <f>'Life Cycle Assessment Data'!$H$45</f>
        <v>2.3900000000000001E-12</v>
      </c>
      <c r="AE102" s="130">
        <f>'Life Cycle Assessment Data'!$H$45</f>
        <v>2.3900000000000001E-12</v>
      </c>
      <c r="AF102" s="130">
        <f>'Life Cycle Assessment Data'!$H$45</f>
        <v>2.3900000000000001E-12</v>
      </c>
      <c r="AG102" s="130">
        <f>'Life Cycle Assessment Data'!$H$45</f>
        <v>2.3900000000000001E-12</v>
      </c>
      <c r="AH102" s="130">
        <f>'Life Cycle Assessment Data'!$H$45</f>
        <v>2.3900000000000001E-12</v>
      </c>
      <c r="AI102" s="130">
        <f>'Life Cycle Assessment Data'!$H$45</f>
        <v>2.3900000000000001E-12</v>
      </c>
      <c r="AJ102" s="130">
        <f>'Life Cycle Assessment Data'!$H$45</f>
        <v>2.3900000000000001E-12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s="30" customFormat="1" x14ac:dyDescent="0.25">
      <c r="A103"/>
      <c r="B103" s="15" t="s">
        <v>171</v>
      </c>
      <c r="C103" s="117">
        <v>0</v>
      </c>
      <c r="D103" s="117">
        <v>0</v>
      </c>
      <c r="E103" s="117">
        <v>0</v>
      </c>
      <c r="F103" s="131">
        <f>0</f>
        <v>0</v>
      </c>
      <c r="G103" s="131">
        <f>0</f>
        <v>0</v>
      </c>
      <c r="H103" s="131">
        <f>0</f>
        <v>0</v>
      </c>
      <c r="I103" s="131">
        <f>0</f>
        <v>0</v>
      </c>
      <c r="J103" s="131">
        <f>0</f>
        <v>0</v>
      </c>
      <c r="K103" s="131">
        <f>0</f>
        <v>0</v>
      </c>
      <c r="L103" s="131">
        <f>0</f>
        <v>0</v>
      </c>
      <c r="M103" s="131">
        <f>0</f>
        <v>0</v>
      </c>
      <c r="N103" s="131">
        <f>0</f>
        <v>0</v>
      </c>
      <c r="O103" s="131">
        <f>0</f>
        <v>0</v>
      </c>
      <c r="P103" s="131">
        <f>0</f>
        <v>0</v>
      </c>
      <c r="Q103" s="131">
        <f>0</f>
        <v>0</v>
      </c>
      <c r="R103" s="131">
        <f>0</f>
        <v>0</v>
      </c>
      <c r="S103" s="131">
        <f>0</f>
        <v>0</v>
      </c>
      <c r="T103" s="131">
        <f>0</f>
        <v>0</v>
      </c>
      <c r="U103" s="131">
        <f>0</f>
        <v>0</v>
      </c>
      <c r="V103" s="131">
        <f>0</f>
        <v>0</v>
      </c>
      <c r="W103" s="131">
        <f>0</f>
        <v>0</v>
      </c>
      <c r="X103" s="131">
        <f>0</f>
        <v>0</v>
      </c>
      <c r="Y103" s="131">
        <f>0</f>
        <v>0</v>
      </c>
      <c r="Z103" s="131">
        <f>0</f>
        <v>0</v>
      </c>
      <c r="AA103" s="131">
        <f>0</f>
        <v>0</v>
      </c>
      <c r="AB103" s="131">
        <f>0</f>
        <v>0</v>
      </c>
      <c r="AC103" s="131">
        <f>0</f>
        <v>0</v>
      </c>
      <c r="AD103" s="131">
        <f>0</f>
        <v>0</v>
      </c>
      <c r="AE103" s="131">
        <f>0</f>
        <v>0</v>
      </c>
      <c r="AF103" s="131">
        <f>0</f>
        <v>0</v>
      </c>
      <c r="AG103" s="131">
        <f>0</f>
        <v>0</v>
      </c>
      <c r="AH103" s="131">
        <f>0</f>
        <v>0</v>
      </c>
      <c r="AI103" s="131">
        <f>0</f>
        <v>0</v>
      </c>
      <c r="AJ103" s="131">
        <f>0</f>
        <v>0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s="30" customFormat="1" x14ac:dyDescent="0.25">
      <c r="A104"/>
      <c r="B104" s="15" t="s">
        <v>172</v>
      </c>
      <c r="C104" s="117">
        <v>0</v>
      </c>
      <c r="D104" s="117">
        <v>0</v>
      </c>
      <c r="E104" s="117">
        <v>0</v>
      </c>
      <c r="F104" s="117">
        <f>'Life Cycle Assessment Data'!$H$30</f>
        <v>2.0599999999999997E-12</v>
      </c>
      <c r="G104" s="117">
        <f>'Life Cycle Assessment Data'!$H$30</f>
        <v>2.0599999999999997E-12</v>
      </c>
      <c r="H104" s="117">
        <f>'Life Cycle Assessment Data'!$H$30</f>
        <v>2.0599999999999997E-12</v>
      </c>
      <c r="I104" s="117">
        <f>'Life Cycle Assessment Data'!$H$30</f>
        <v>2.0599999999999997E-12</v>
      </c>
      <c r="J104" s="117">
        <f>'Life Cycle Assessment Data'!$H$30</f>
        <v>2.0599999999999997E-12</v>
      </c>
      <c r="K104" s="117">
        <f>'Life Cycle Assessment Data'!$H$30</f>
        <v>2.0599999999999997E-12</v>
      </c>
      <c r="L104" s="117">
        <f>'Life Cycle Assessment Data'!$H$30</f>
        <v>2.0599999999999997E-12</v>
      </c>
      <c r="M104" s="117">
        <f>'Life Cycle Assessment Data'!$H$30</f>
        <v>2.0599999999999997E-12</v>
      </c>
      <c r="N104" s="117">
        <f>'Life Cycle Assessment Data'!$H$30</f>
        <v>2.0599999999999997E-12</v>
      </c>
      <c r="O104" s="117">
        <f>'Life Cycle Assessment Data'!$H$30</f>
        <v>2.0599999999999997E-12</v>
      </c>
      <c r="P104" s="117">
        <f>'Life Cycle Assessment Data'!$H$30</f>
        <v>2.0599999999999997E-12</v>
      </c>
      <c r="Q104" s="117">
        <f>'Life Cycle Assessment Data'!$H$30</f>
        <v>2.0599999999999997E-12</v>
      </c>
      <c r="R104" s="117">
        <f>'Life Cycle Assessment Data'!$H$30</f>
        <v>2.0599999999999997E-12</v>
      </c>
      <c r="S104" s="117">
        <f>'Life Cycle Assessment Data'!$H$30</f>
        <v>2.0599999999999997E-12</v>
      </c>
      <c r="T104" s="117">
        <f>'Life Cycle Assessment Data'!$H$30</f>
        <v>2.0599999999999997E-12</v>
      </c>
      <c r="U104" s="117">
        <f>'Life Cycle Assessment Data'!$H$30</f>
        <v>2.0599999999999997E-12</v>
      </c>
      <c r="V104" s="117">
        <f>'Life Cycle Assessment Data'!$H$30</f>
        <v>2.0599999999999997E-12</v>
      </c>
      <c r="W104" s="117">
        <f>'Life Cycle Assessment Data'!$H$30</f>
        <v>2.0599999999999997E-12</v>
      </c>
      <c r="X104" s="117">
        <f>'Life Cycle Assessment Data'!$H$30</f>
        <v>2.0599999999999997E-12</v>
      </c>
      <c r="Y104" s="117">
        <f>'Life Cycle Assessment Data'!$H$30</f>
        <v>2.0599999999999997E-12</v>
      </c>
      <c r="Z104" s="117">
        <f>'Life Cycle Assessment Data'!$H$30</f>
        <v>2.0599999999999997E-12</v>
      </c>
      <c r="AA104" s="117">
        <f>'Life Cycle Assessment Data'!$H$30</f>
        <v>2.0599999999999997E-12</v>
      </c>
      <c r="AB104" s="117">
        <f>'Life Cycle Assessment Data'!$H$30</f>
        <v>2.0599999999999997E-12</v>
      </c>
      <c r="AC104" s="117">
        <f>'Life Cycle Assessment Data'!$H$30</f>
        <v>2.0599999999999997E-12</v>
      </c>
      <c r="AD104" s="117">
        <f>'Life Cycle Assessment Data'!$H$30</f>
        <v>2.0599999999999997E-12</v>
      </c>
      <c r="AE104" s="117">
        <f>'Life Cycle Assessment Data'!$H$30</f>
        <v>2.0599999999999997E-12</v>
      </c>
      <c r="AF104" s="117">
        <f>'Life Cycle Assessment Data'!$H$30</f>
        <v>2.0599999999999997E-12</v>
      </c>
      <c r="AG104" s="117">
        <f>'Life Cycle Assessment Data'!$H$30</f>
        <v>2.0599999999999997E-12</v>
      </c>
      <c r="AH104" s="117">
        <f>'Life Cycle Assessment Data'!$H$30</f>
        <v>2.0599999999999997E-12</v>
      </c>
      <c r="AI104" s="117">
        <f>'Life Cycle Assessment Data'!$H$30</f>
        <v>2.0599999999999997E-12</v>
      </c>
      <c r="AJ104" s="117">
        <f>'Life Cycle Assessment Data'!$H$30</f>
        <v>2.0599999999999997E-12</v>
      </c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s="30" customFormat="1" x14ac:dyDescent="0.25">
      <c r="A105"/>
      <c r="B105" s="68" t="s">
        <v>173</v>
      </c>
      <c r="C105" s="171">
        <v>0</v>
      </c>
      <c r="D105" s="171">
        <v>0</v>
      </c>
      <c r="E105" s="171">
        <v>0</v>
      </c>
      <c r="F105" s="218">
        <f>'Life Cycle Assessment Data'!$H$45</f>
        <v>2.3900000000000001E-12</v>
      </c>
      <c r="G105" s="218">
        <f>'Life Cycle Assessment Data'!$H$45</f>
        <v>2.3900000000000001E-12</v>
      </c>
      <c r="H105" s="218">
        <f>'Life Cycle Assessment Data'!$H$45</f>
        <v>2.3900000000000001E-12</v>
      </c>
      <c r="I105" s="218">
        <f>'Life Cycle Assessment Data'!$H$45</f>
        <v>2.3900000000000001E-12</v>
      </c>
      <c r="J105" s="218">
        <f>'Life Cycle Assessment Data'!$H$45</f>
        <v>2.3900000000000001E-12</v>
      </c>
      <c r="K105" s="218">
        <f>'Life Cycle Assessment Data'!$H$45</f>
        <v>2.3900000000000001E-12</v>
      </c>
      <c r="L105" s="218">
        <f>'Life Cycle Assessment Data'!$H$45</f>
        <v>2.3900000000000001E-12</v>
      </c>
      <c r="M105" s="218">
        <f>'Life Cycle Assessment Data'!$H$45</f>
        <v>2.3900000000000001E-12</v>
      </c>
      <c r="N105" s="218">
        <f>'Life Cycle Assessment Data'!$H$45</f>
        <v>2.3900000000000001E-12</v>
      </c>
      <c r="O105" s="218">
        <f>'Life Cycle Assessment Data'!$H$45</f>
        <v>2.3900000000000001E-12</v>
      </c>
      <c r="P105" s="218">
        <f>'Life Cycle Assessment Data'!$H$45</f>
        <v>2.3900000000000001E-12</v>
      </c>
      <c r="Q105" s="218">
        <f>'Life Cycle Assessment Data'!$H$45</f>
        <v>2.3900000000000001E-12</v>
      </c>
      <c r="R105" s="218">
        <f>'Life Cycle Assessment Data'!$H$45</f>
        <v>2.3900000000000001E-12</v>
      </c>
      <c r="S105" s="218">
        <f>'Life Cycle Assessment Data'!$H$45</f>
        <v>2.3900000000000001E-12</v>
      </c>
      <c r="T105" s="218">
        <f>'Life Cycle Assessment Data'!$H$45</f>
        <v>2.3900000000000001E-12</v>
      </c>
      <c r="U105" s="218">
        <f>'Life Cycle Assessment Data'!$H$45</f>
        <v>2.3900000000000001E-12</v>
      </c>
      <c r="V105" s="218">
        <f>'Life Cycle Assessment Data'!$H$45</f>
        <v>2.3900000000000001E-12</v>
      </c>
      <c r="W105" s="218">
        <f>'Life Cycle Assessment Data'!$H$45</f>
        <v>2.3900000000000001E-12</v>
      </c>
      <c r="X105" s="218">
        <f>'Life Cycle Assessment Data'!$H$45</f>
        <v>2.3900000000000001E-12</v>
      </c>
      <c r="Y105" s="218">
        <f>'Life Cycle Assessment Data'!$H$45</f>
        <v>2.3900000000000001E-12</v>
      </c>
      <c r="Z105" s="218">
        <f>'Life Cycle Assessment Data'!$H$45</f>
        <v>2.3900000000000001E-12</v>
      </c>
      <c r="AA105" s="218">
        <f>'Life Cycle Assessment Data'!$H$45</f>
        <v>2.3900000000000001E-12</v>
      </c>
      <c r="AB105" s="218">
        <f>'Life Cycle Assessment Data'!$H$45</f>
        <v>2.3900000000000001E-12</v>
      </c>
      <c r="AC105" s="218">
        <f>'Life Cycle Assessment Data'!$H$45</f>
        <v>2.3900000000000001E-12</v>
      </c>
      <c r="AD105" s="218">
        <f>'Life Cycle Assessment Data'!$H$45</f>
        <v>2.3900000000000001E-12</v>
      </c>
      <c r="AE105" s="218">
        <f>'Life Cycle Assessment Data'!$H$45</f>
        <v>2.3900000000000001E-12</v>
      </c>
      <c r="AF105" s="218">
        <f>'Life Cycle Assessment Data'!$H$45</f>
        <v>2.3900000000000001E-12</v>
      </c>
      <c r="AG105" s="218">
        <f>'Life Cycle Assessment Data'!$H$45</f>
        <v>2.3900000000000001E-12</v>
      </c>
      <c r="AH105" s="218">
        <f>'Life Cycle Assessment Data'!$H$45</f>
        <v>2.3900000000000001E-12</v>
      </c>
      <c r="AI105" s="218">
        <f>'Life Cycle Assessment Data'!$H$45</f>
        <v>2.3900000000000001E-12</v>
      </c>
      <c r="AJ105" s="218">
        <f>'Life Cycle Assessment Data'!$H$45</f>
        <v>2.3900000000000001E-12</v>
      </c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s="30" customFormat="1" x14ac:dyDescent="0.25">
      <c r="A106"/>
      <c r="B106" s="215" t="s">
        <v>6</v>
      </c>
      <c r="C106" s="215"/>
      <c r="D106" s="215"/>
      <c r="E106" s="215"/>
      <c r="F106" s="215"/>
      <c r="G106" s="215"/>
      <c r="H106" s="215"/>
      <c r="I106" s="215"/>
      <c r="J106" s="215"/>
      <c r="K106" s="215"/>
      <c r="L106" s="215"/>
      <c r="M106" s="215"/>
      <c r="N106" s="215"/>
      <c r="O106" s="215"/>
      <c r="P106" s="215"/>
      <c r="Q106" s="215"/>
      <c r="R106" s="215"/>
      <c r="S106" s="215"/>
      <c r="T106" s="215"/>
      <c r="U106" s="215"/>
      <c r="V106" s="215"/>
      <c r="W106" s="215"/>
      <c r="X106" s="215"/>
      <c r="Y106" s="215"/>
      <c r="Z106" s="215"/>
      <c r="AA106" s="215"/>
      <c r="AB106" s="215"/>
      <c r="AC106" s="215"/>
      <c r="AD106" s="215"/>
      <c r="AE106" s="215"/>
      <c r="AF106" s="215"/>
      <c r="AG106" s="215"/>
      <c r="AH106" s="215"/>
      <c r="AI106" s="215"/>
      <c r="AJ106" s="215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s="30" customFormat="1" x14ac:dyDescent="0.25">
      <c r="A107"/>
      <c r="B107" s="67" t="s">
        <v>164</v>
      </c>
      <c r="C107" s="129">
        <f>IF('Life Cycle Assessment Data'!$C$60="Match capital spending",'Life Cycle Assessment Data'!$F$31*'Techno-Economic Analysis'!$C$93,'Life Cycle Assessment Data'!$F$31*1/3)</f>
        <v>7.9175799999999999E-7</v>
      </c>
      <c r="D107" s="129">
        <f>IF('Life Cycle Assessment Data'!$C$60="Match capital spending",'Life Cycle Assessment Data'!$F$31*'Techno-Economic Analysis'!$C$94,'Life Cycle Assessment Data'!$F$31*1/3)</f>
        <v>7.9175799999999999E-7</v>
      </c>
      <c r="E107" s="129">
        <f>IF('Life Cycle Assessment Data'!$C$60="Match capital spending",'Life Cycle Assessment Data'!$F$31*'Techno-Economic Analysis'!$C$95,'Life Cycle Assessment Data'!$F$31*1/3)</f>
        <v>7.9175799999999999E-7</v>
      </c>
      <c r="F107" s="129">
        <v>0</v>
      </c>
      <c r="G107" s="129">
        <v>0</v>
      </c>
      <c r="H107" s="129">
        <v>0</v>
      </c>
      <c r="I107" s="129">
        <v>0</v>
      </c>
      <c r="J107" s="129">
        <v>0</v>
      </c>
      <c r="K107" s="129">
        <v>0</v>
      </c>
      <c r="L107" s="129">
        <v>0</v>
      </c>
      <c r="M107" s="129">
        <v>0</v>
      </c>
      <c r="N107" s="129">
        <v>0</v>
      </c>
      <c r="O107" s="129">
        <v>0</v>
      </c>
      <c r="P107" s="129">
        <v>0</v>
      </c>
      <c r="Q107" s="129">
        <v>0</v>
      </c>
      <c r="R107" s="129">
        <v>0</v>
      </c>
      <c r="S107" s="129">
        <v>0</v>
      </c>
      <c r="T107" s="129">
        <v>0</v>
      </c>
      <c r="U107" s="129">
        <v>0</v>
      </c>
      <c r="V107" s="129">
        <v>0</v>
      </c>
      <c r="W107" s="129">
        <v>0</v>
      </c>
      <c r="X107" s="129">
        <v>0</v>
      </c>
      <c r="Y107" s="129">
        <v>0</v>
      </c>
      <c r="Z107" s="129">
        <v>0</v>
      </c>
      <c r="AA107" s="129">
        <v>0</v>
      </c>
      <c r="AB107" s="129">
        <v>0</v>
      </c>
      <c r="AC107" s="129">
        <v>0</v>
      </c>
      <c r="AD107" s="129">
        <v>0</v>
      </c>
      <c r="AE107" s="129">
        <v>0</v>
      </c>
      <c r="AF107" s="129">
        <v>0</v>
      </c>
      <c r="AG107" s="129">
        <v>0</v>
      </c>
      <c r="AH107" s="129">
        <v>0</v>
      </c>
      <c r="AI107" s="129">
        <v>0</v>
      </c>
      <c r="AJ107" s="129">
        <v>0</v>
      </c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s="30" customFormat="1" x14ac:dyDescent="0.25">
      <c r="A108"/>
      <c r="B108" s="18" t="s">
        <v>165</v>
      </c>
      <c r="C108" s="130">
        <v>0</v>
      </c>
      <c r="D108" s="130">
        <v>0</v>
      </c>
      <c r="E108" s="130">
        <f>+'Life Cycle Assessment Data'!$G$31</f>
        <v>5.9567999999999994E-8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f>'Life Cycle Assessment Data'!$I$31</f>
        <v>5.9567999999999994E-8</v>
      </c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s="30" customFormat="1" x14ac:dyDescent="0.25">
      <c r="A109"/>
      <c r="B109" s="18" t="s">
        <v>166</v>
      </c>
      <c r="C109" s="130">
        <f>IF(C71=year_of_decision,'Life Cycle Assessment Data'!$F$46-'Life Cycle Assessment Data'!$F$31,0)</f>
        <v>0</v>
      </c>
      <c r="D109" s="130">
        <f>IF(D71=year_of_decision,'Life Cycle Assessment Data'!$F$46-'Life Cycle Assessment Data'!$F$31,0)</f>
        <v>0</v>
      </c>
      <c r="E109" s="130">
        <f>IF(E71=year_of_decision,'Life Cycle Assessment Data'!$F$46-'Life Cycle Assessment Data'!$F$31,0)</f>
        <v>0</v>
      </c>
      <c r="F109" s="130">
        <f>IF(F71=year_of_decision,'Life Cycle Assessment Data'!$F$46-'Life Cycle Assessment Data'!$F$31,0)</f>
        <v>0</v>
      </c>
      <c r="G109" s="130">
        <f>IF(G71=year_of_decision,'Life Cycle Assessment Data'!$F$46-'Life Cycle Assessment Data'!$F$31,0)</f>
        <v>0</v>
      </c>
      <c r="H109" s="130">
        <f>IF(H71=year_of_decision,'Life Cycle Assessment Data'!$F$46-'Life Cycle Assessment Data'!$F$31,0)</f>
        <v>0</v>
      </c>
      <c r="I109" s="130">
        <f>IF(I71=year_of_decision,'Life Cycle Assessment Data'!$F$46-'Life Cycle Assessment Data'!$F$31,0)</f>
        <v>0</v>
      </c>
      <c r="J109" s="130">
        <f>IF(J71=year_of_decision,'Life Cycle Assessment Data'!$F$46-'Life Cycle Assessment Data'!$F$31,0)</f>
        <v>0</v>
      </c>
      <c r="K109" s="130">
        <f>IF(K71=year_of_decision,'Life Cycle Assessment Data'!$F$46-'Life Cycle Assessment Data'!$F$31,0)</f>
        <v>1.027548E-6</v>
      </c>
      <c r="L109" s="130">
        <f>IF(L71=year_of_decision,'Life Cycle Assessment Data'!$F$46-'Life Cycle Assessment Data'!$F$31,0)</f>
        <v>0</v>
      </c>
      <c r="M109" s="130">
        <f>IF(M71=year_of_decision,'Life Cycle Assessment Data'!$F$46-'Life Cycle Assessment Data'!$F$31,0)</f>
        <v>0</v>
      </c>
      <c r="N109" s="130">
        <f>IF(N71=year_of_decision,'Life Cycle Assessment Data'!$F$46-'Life Cycle Assessment Data'!$F$31,0)</f>
        <v>0</v>
      </c>
      <c r="O109" s="130">
        <f>IF(O71=year_of_decision,'Life Cycle Assessment Data'!$F$46-'Life Cycle Assessment Data'!$F$31,0)</f>
        <v>0</v>
      </c>
      <c r="P109" s="130">
        <f>IF(P71=year_of_decision,'Life Cycle Assessment Data'!$F$46-'Life Cycle Assessment Data'!$F$31,0)</f>
        <v>0</v>
      </c>
      <c r="Q109" s="130">
        <f>IF(Q71=year_of_decision,'Life Cycle Assessment Data'!$F$46-'Life Cycle Assessment Data'!$F$31,0)</f>
        <v>0</v>
      </c>
      <c r="R109" s="130">
        <f>IF(R71=year_of_decision,'Life Cycle Assessment Data'!$F$46-'Life Cycle Assessment Data'!$F$31,0)</f>
        <v>0</v>
      </c>
      <c r="S109" s="130">
        <f>IF(S71=year_of_decision,'Life Cycle Assessment Data'!$F$46-'Life Cycle Assessment Data'!$F$31,0)</f>
        <v>0</v>
      </c>
      <c r="T109" s="130">
        <f>IF(T71=year_of_decision,'Life Cycle Assessment Data'!$F$46-'Life Cycle Assessment Data'!$F$31,0)</f>
        <v>0</v>
      </c>
      <c r="U109" s="130">
        <f>IF(U71=year_of_decision,'Life Cycle Assessment Data'!$F$46-'Life Cycle Assessment Data'!$F$31,0)</f>
        <v>0</v>
      </c>
      <c r="V109" s="130">
        <f>IF(V71=year_of_decision,'Life Cycle Assessment Data'!$F$46-'Life Cycle Assessment Data'!$F$31,0)</f>
        <v>0</v>
      </c>
      <c r="W109" s="130">
        <f>IF(W71=year_of_decision,'Life Cycle Assessment Data'!$F$46-'Life Cycle Assessment Data'!$F$31,0)</f>
        <v>0</v>
      </c>
      <c r="X109" s="130">
        <f>IF(X71=year_of_decision,'Life Cycle Assessment Data'!$F$46-'Life Cycle Assessment Data'!$F$31,0)</f>
        <v>0</v>
      </c>
      <c r="Y109" s="130">
        <f>IF(Y71=year_of_decision,'Life Cycle Assessment Data'!$F$46-'Life Cycle Assessment Data'!$F$31,0)</f>
        <v>0</v>
      </c>
      <c r="Z109" s="130">
        <f>IF(Z71=year_of_decision,'Life Cycle Assessment Data'!$F$46-'Life Cycle Assessment Data'!$F$31,0)</f>
        <v>0</v>
      </c>
      <c r="AA109" s="130">
        <f>IF(AA71=year_of_decision,'Life Cycle Assessment Data'!$F$46-'Life Cycle Assessment Data'!$F$31,0)</f>
        <v>0</v>
      </c>
      <c r="AB109" s="130">
        <f>IF(AB71=year_of_decision,'Life Cycle Assessment Data'!$F$46-'Life Cycle Assessment Data'!$F$31,0)</f>
        <v>0</v>
      </c>
      <c r="AC109" s="130">
        <f>IF(AC71=year_of_decision,'Life Cycle Assessment Data'!$F$46-'Life Cycle Assessment Data'!$F$31,0)</f>
        <v>0</v>
      </c>
      <c r="AD109" s="130">
        <f>IF(AD71=year_of_decision,'Life Cycle Assessment Data'!$F$46-'Life Cycle Assessment Data'!$F$31,0)</f>
        <v>0</v>
      </c>
      <c r="AE109" s="130">
        <f>IF(AE71=year_of_decision,'Life Cycle Assessment Data'!$F$46-'Life Cycle Assessment Data'!$F$31,0)</f>
        <v>0</v>
      </c>
      <c r="AF109" s="130">
        <f>IF(AF71=year_of_decision,'Life Cycle Assessment Data'!$F$46-'Life Cycle Assessment Data'!$F$31,0)</f>
        <v>0</v>
      </c>
      <c r="AG109" s="130">
        <f>IF(AG71=year_of_decision,'Life Cycle Assessment Data'!$F$46-'Life Cycle Assessment Data'!$F$31,0)</f>
        <v>0</v>
      </c>
      <c r="AH109" s="130">
        <f>IF(AH71=year_of_decision,'Life Cycle Assessment Data'!$F$46-'Life Cycle Assessment Data'!$F$31,0)</f>
        <v>0</v>
      </c>
      <c r="AI109" s="130">
        <f>IF(AI71=year_of_decision,'Life Cycle Assessment Data'!$F$46-'Life Cycle Assessment Data'!$F$31,0)</f>
        <v>0</v>
      </c>
      <c r="AJ109" s="130">
        <f>IF(AJ71=year_of_decision,'Life Cycle Assessment Data'!$F$46-'Life Cycle Assessment Data'!$F$31,0)</f>
        <v>0</v>
      </c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s="30" customFormat="1" x14ac:dyDescent="0.25">
      <c r="A110"/>
      <c r="B110" s="18" t="s">
        <v>167</v>
      </c>
      <c r="C110" s="130">
        <f>IF(C71=year_of_decision,'Life Cycle Assessment Data'!$G$46-'Life Cycle Assessment Data'!$G$31,0)</f>
        <v>0</v>
      </c>
      <c r="D110" s="130">
        <f>IF(D71=year_of_decision,'Life Cycle Assessment Data'!$G$46-'Life Cycle Assessment Data'!$G$31,0)</f>
        <v>0</v>
      </c>
      <c r="E110" s="130">
        <f>IF(E71=year_of_decision,'Life Cycle Assessment Data'!$G$46-'Life Cycle Assessment Data'!$G$31,0)</f>
        <v>0</v>
      </c>
      <c r="F110" s="130">
        <f>IF(F71=year_of_decision,'Life Cycle Assessment Data'!$G$46-'Life Cycle Assessment Data'!$G$31,0)</f>
        <v>0</v>
      </c>
      <c r="G110" s="130">
        <f>IF(G71=year_of_decision,'Life Cycle Assessment Data'!$G$46-'Life Cycle Assessment Data'!$G$31,0)</f>
        <v>0</v>
      </c>
      <c r="H110" s="130">
        <f>IF(H71=year_of_decision,'Life Cycle Assessment Data'!$G$46-'Life Cycle Assessment Data'!$G$31,0)</f>
        <v>0</v>
      </c>
      <c r="I110" s="130">
        <f>IF(I71=year_of_decision,'Life Cycle Assessment Data'!$G$46-'Life Cycle Assessment Data'!$G$31,0)</f>
        <v>0</v>
      </c>
      <c r="J110" s="130">
        <f>IF(J71=year_of_decision,'Life Cycle Assessment Data'!$G$46-'Life Cycle Assessment Data'!$G$31,0)</f>
        <v>0</v>
      </c>
      <c r="K110" s="130">
        <f>IF(K71=year_of_decision,'Life Cycle Assessment Data'!$G$46-'Life Cycle Assessment Data'!$G$31,0)</f>
        <v>1.7125799999999993E-8</v>
      </c>
      <c r="L110" s="130">
        <f>IF(L71=year_of_decision,'Life Cycle Assessment Data'!$G$46-'Life Cycle Assessment Data'!$G$31,0)</f>
        <v>0</v>
      </c>
      <c r="M110" s="130">
        <f>IF(M71=year_of_decision,'Life Cycle Assessment Data'!$G$46-'Life Cycle Assessment Data'!$G$31,0)</f>
        <v>0</v>
      </c>
      <c r="N110" s="130">
        <f>IF(N71=year_of_decision,'Life Cycle Assessment Data'!$G$46-'Life Cycle Assessment Data'!$G$31,0)</f>
        <v>0</v>
      </c>
      <c r="O110" s="130">
        <f>IF(O71=year_of_decision,'Life Cycle Assessment Data'!$G$46-'Life Cycle Assessment Data'!$G$31,0)</f>
        <v>0</v>
      </c>
      <c r="P110" s="130">
        <f>IF(P71=year_of_decision,'Life Cycle Assessment Data'!$G$46-'Life Cycle Assessment Data'!$G$31,0)</f>
        <v>0</v>
      </c>
      <c r="Q110" s="130">
        <f>IF(Q71=year_of_decision,'Life Cycle Assessment Data'!$G$46-'Life Cycle Assessment Data'!$G$31,0)</f>
        <v>0</v>
      </c>
      <c r="R110" s="130">
        <f>IF(R71=year_of_decision,'Life Cycle Assessment Data'!$G$46-'Life Cycle Assessment Data'!$G$31,0)</f>
        <v>0</v>
      </c>
      <c r="S110" s="130">
        <f>IF(S71=year_of_decision,'Life Cycle Assessment Data'!$G$46-'Life Cycle Assessment Data'!$G$31,0)</f>
        <v>0</v>
      </c>
      <c r="T110" s="130">
        <f>IF(T71=year_of_decision,'Life Cycle Assessment Data'!$G$46-'Life Cycle Assessment Data'!$G$31,0)</f>
        <v>0</v>
      </c>
      <c r="U110" s="130">
        <f>IF(U71=year_of_decision,'Life Cycle Assessment Data'!$G$46-'Life Cycle Assessment Data'!$G$31,0)</f>
        <v>0</v>
      </c>
      <c r="V110" s="130">
        <f>IF(V71=year_of_decision,'Life Cycle Assessment Data'!$G$46-'Life Cycle Assessment Data'!$G$31,0)</f>
        <v>0</v>
      </c>
      <c r="W110" s="130">
        <f>IF(W71=year_of_decision,'Life Cycle Assessment Data'!$G$46-'Life Cycle Assessment Data'!$G$31,0)</f>
        <v>0</v>
      </c>
      <c r="X110" s="130">
        <f>IF(X71=year_of_decision,'Life Cycle Assessment Data'!$G$46-'Life Cycle Assessment Data'!$G$31,0)</f>
        <v>0</v>
      </c>
      <c r="Y110" s="130">
        <f>IF(Y71=year_of_decision,'Life Cycle Assessment Data'!$G$46-'Life Cycle Assessment Data'!$G$31,0)</f>
        <v>0</v>
      </c>
      <c r="Z110" s="130">
        <f>IF(Z71=year_of_decision,'Life Cycle Assessment Data'!$G$46-'Life Cycle Assessment Data'!$G$31,0)</f>
        <v>0</v>
      </c>
      <c r="AA110" s="130">
        <f>IF(AA71=year_of_decision,'Life Cycle Assessment Data'!$G$46-'Life Cycle Assessment Data'!$G$31,0)</f>
        <v>0</v>
      </c>
      <c r="AB110" s="130">
        <f>IF(AB71=year_of_decision,'Life Cycle Assessment Data'!$G$46-'Life Cycle Assessment Data'!$G$31,0)</f>
        <v>0</v>
      </c>
      <c r="AC110" s="130">
        <f>IF(AC71=year_of_decision,'Life Cycle Assessment Data'!$G$46-'Life Cycle Assessment Data'!$G$31,0)</f>
        <v>0</v>
      </c>
      <c r="AD110" s="130">
        <f>IF(AD71=year_of_decision,'Life Cycle Assessment Data'!$G$46-'Life Cycle Assessment Data'!$G$31,0)</f>
        <v>0</v>
      </c>
      <c r="AE110" s="130">
        <f>IF(AE71=year_of_decision,'Life Cycle Assessment Data'!$G$46-'Life Cycle Assessment Data'!$G$31,0)</f>
        <v>0</v>
      </c>
      <c r="AF110" s="130">
        <f>IF(AF71=year_of_decision,'Life Cycle Assessment Data'!$G$46-'Life Cycle Assessment Data'!$G$31,0)</f>
        <v>0</v>
      </c>
      <c r="AG110" s="130">
        <f>IF(AG71=year_of_decision,'Life Cycle Assessment Data'!$G$46-'Life Cycle Assessment Data'!$G$31,0)</f>
        <v>0</v>
      </c>
      <c r="AH110" s="130">
        <f>IF(AH71=year_of_decision,'Life Cycle Assessment Data'!$G$46-'Life Cycle Assessment Data'!$G$31,0)</f>
        <v>0</v>
      </c>
      <c r="AI110" s="130">
        <f>IF(AI71=year_of_decision,'Life Cycle Assessment Data'!$G$46-'Life Cycle Assessment Data'!$G$31,0)</f>
        <v>0</v>
      </c>
      <c r="AJ110" s="130">
        <f>'Life Cycle Assessment Data'!$I$46-'Life Cycle Assessment Data'!$I$31</f>
        <v>1.7125799999999993E-8</v>
      </c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s="30" customFormat="1" x14ac:dyDescent="0.25">
      <c r="A111"/>
      <c r="B111" s="18" t="s">
        <v>178</v>
      </c>
      <c r="C111" s="130">
        <f>IF(year_of_decision=C71,'Life Cycle Assessment Data'!$I$29,0)</f>
        <v>0</v>
      </c>
      <c r="D111" s="130">
        <f>IF(year_of_decision=D71,'Life Cycle Assessment Data'!$I$29,0)</f>
        <v>0</v>
      </c>
      <c r="E111" s="130">
        <f>IF(year_of_decision=E71,'Life Cycle Assessment Data'!$I$29,0)</f>
        <v>0</v>
      </c>
      <c r="F111" s="130">
        <f>IF(year_of_decision=F71,'Life Cycle Assessment Data'!$I$29,0)</f>
        <v>0</v>
      </c>
      <c r="G111" s="130">
        <f>IF(year_of_decision=G71,'Life Cycle Assessment Data'!$I$29,0)</f>
        <v>0</v>
      </c>
      <c r="H111" s="130">
        <f>IF(year_of_decision=H71,'Life Cycle Assessment Data'!$I$29,0)</f>
        <v>0</v>
      </c>
      <c r="I111" s="130">
        <f>IF(year_of_decision=I71,'Life Cycle Assessment Data'!$I$29,0)</f>
        <v>0</v>
      </c>
      <c r="J111" s="130">
        <f>IF(year_of_decision=J71,'Life Cycle Assessment Data'!$I$29,0)</f>
        <v>0</v>
      </c>
      <c r="K111" s="130">
        <f>IF(year_of_decision=K71,'Life Cycle Assessment Data'!$I$29,0)</f>
        <v>5.5844999999999998E-5</v>
      </c>
      <c r="L111" s="130">
        <f>IF(year_of_decision=L71,'Life Cycle Assessment Data'!$I$29,0)</f>
        <v>0</v>
      </c>
      <c r="M111" s="130">
        <f>IF(year_of_decision=M71,'Life Cycle Assessment Data'!$I$29,0)</f>
        <v>0</v>
      </c>
      <c r="N111" s="130">
        <f>IF(year_of_decision=N71,'Life Cycle Assessment Data'!$I$29,0)</f>
        <v>0</v>
      </c>
      <c r="O111" s="130">
        <f>IF(year_of_decision=O71,'Life Cycle Assessment Data'!$I$29,0)</f>
        <v>0</v>
      </c>
      <c r="P111" s="130">
        <f>IF(year_of_decision=P71,'Life Cycle Assessment Data'!$I$29,0)</f>
        <v>0</v>
      </c>
      <c r="Q111" s="130">
        <f>IF(year_of_decision=Q71,'Life Cycle Assessment Data'!$I$29,0)</f>
        <v>0</v>
      </c>
      <c r="R111" s="130">
        <f>IF(year_of_decision=R71,'Life Cycle Assessment Data'!$I$29,0)</f>
        <v>0</v>
      </c>
      <c r="S111" s="130">
        <f>IF(year_of_decision=S71,'Life Cycle Assessment Data'!$I$29,0)</f>
        <v>0</v>
      </c>
      <c r="T111" s="130">
        <f>IF(year_of_decision=T71,'Life Cycle Assessment Data'!$I$29,0)</f>
        <v>0</v>
      </c>
      <c r="U111" s="130">
        <f>IF(year_of_decision=U71,'Life Cycle Assessment Data'!$I$29,0)</f>
        <v>0</v>
      </c>
      <c r="V111" s="130">
        <f>IF(year_of_decision=V71,'Life Cycle Assessment Data'!$I$29,0)</f>
        <v>0</v>
      </c>
      <c r="W111" s="130">
        <f>IF(year_of_decision=W71,'Life Cycle Assessment Data'!$I$29,0)</f>
        <v>0</v>
      </c>
      <c r="X111" s="130">
        <f>IF(year_of_decision=X71,'Life Cycle Assessment Data'!$I$29,0)</f>
        <v>0</v>
      </c>
      <c r="Y111" s="130">
        <f>IF(year_of_decision=Y71,'Life Cycle Assessment Data'!$I$29,0)</f>
        <v>0</v>
      </c>
      <c r="Z111" s="130">
        <f>IF(year_of_decision=Z71,'Life Cycle Assessment Data'!$I$29,0)</f>
        <v>0</v>
      </c>
      <c r="AA111" s="130">
        <f>IF(year_of_decision=AA71,'Life Cycle Assessment Data'!$I$29,0)</f>
        <v>0</v>
      </c>
      <c r="AB111" s="130">
        <f>IF(year_of_decision=AB71,'Life Cycle Assessment Data'!$I$29,0)</f>
        <v>0</v>
      </c>
      <c r="AC111" s="130">
        <f>IF(year_of_decision=AC71,'Life Cycle Assessment Data'!$I$29,0)</f>
        <v>0</v>
      </c>
      <c r="AD111" s="130">
        <f>IF(year_of_decision=AD71,'Life Cycle Assessment Data'!$I$29,0)</f>
        <v>0</v>
      </c>
      <c r="AE111" s="130">
        <f>IF(year_of_decision=AE71,'Life Cycle Assessment Data'!$I$29,0)</f>
        <v>0</v>
      </c>
      <c r="AF111" s="130">
        <f>IF(year_of_decision=AF71,'Life Cycle Assessment Data'!$I$29,0)</f>
        <v>0</v>
      </c>
      <c r="AG111" s="130">
        <f>IF(year_of_decision=AG71,'Life Cycle Assessment Data'!$I$29,0)</f>
        <v>0</v>
      </c>
      <c r="AH111" s="130">
        <f>IF(year_of_decision=AH71,'Life Cycle Assessment Data'!$I$29,0)</f>
        <v>0</v>
      </c>
      <c r="AI111" s="130">
        <f>IF(year_of_decision=AI71,'Life Cycle Assessment Data'!$I$29,0)</f>
        <v>0</v>
      </c>
      <c r="AJ111" s="130">
        <f>IF(year_of_decision=AJ71,'Life Cycle Assessment Data'!$I$29,0)</f>
        <v>0</v>
      </c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s="30" customFormat="1" x14ac:dyDescent="0.25">
      <c r="A112"/>
      <c r="B112" s="18" t="s">
        <v>176</v>
      </c>
      <c r="C112" s="130">
        <v>0</v>
      </c>
      <c r="D112" s="130">
        <v>0</v>
      </c>
      <c r="E112" s="130">
        <v>0</v>
      </c>
      <c r="F112" s="130">
        <f>('Life Cycle Assessment Data'!$K$16+'Life Cycle Assessment Data'!$J$16)*heat_rate/(fuel_energy_per_mass*1000)</f>
        <v>5.4781766356388895E-10</v>
      </c>
      <c r="G112" s="130">
        <f>('Life Cycle Assessment Data'!$K$16+'Life Cycle Assessment Data'!$J$16)*heat_rate/(fuel_energy_per_mass*1000)</f>
        <v>5.4781766356388895E-10</v>
      </c>
      <c r="H112" s="130">
        <f>('Life Cycle Assessment Data'!$K$16+'Life Cycle Assessment Data'!$J$16)*heat_rate/(fuel_energy_per_mass*1000)</f>
        <v>5.4781766356388895E-10</v>
      </c>
      <c r="I112" s="130">
        <f>('Life Cycle Assessment Data'!$K$16+'Life Cycle Assessment Data'!$J$16)*heat_rate/(fuel_energy_per_mass*1000)</f>
        <v>5.4781766356388895E-10</v>
      </c>
      <c r="J112" s="130">
        <f>('Life Cycle Assessment Data'!$K$16+'Life Cycle Assessment Data'!$J$16)*heat_rate/(fuel_energy_per_mass*1000)</f>
        <v>5.4781766356388895E-10</v>
      </c>
      <c r="K112" s="130">
        <f>('Life Cycle Assessment Data'!$K$16+'Life Cycle Assessment Data'!$J$16)*heat_rate/(fuel_energy_per_mass*1000)</f>
        <v>5.4781766356388895E-10</v>
      </c>
      <c r="L112" s="130">
        <f>('Life Cycle Assessment Data'!$K$16+'Life Cycle Assessment Data'!$J$16)*heat_rate/(fuel_energy_per_mass*1000)</f>
        <v>5.4781766356388895E-10</v>
      </c>
      <c r="M112" s="130">
        <f>('Life Cycle Assessment Data'!$K$16+'Life Cycle Assessment Data'!$J$16)*heat_rate/(fuel_energy_per_mass*1000)</f>
        <v>5.4781766356388895E-10</v>
      </c>
      <c r="N112" s="130">
        <f>('Life Cycle Assessment Data'!$K$16+'Life Cycle Assessment Data'!$J$16)*heat_rate/(fuel_energy_per_mass*1000)</f>
        <v>5.4781766356388895E-10</v>
      </c>
      <c r="O112" s="130">
        <f>('Life Cycle Assessment Data'!$K$16+'Life Cycle Assessment Data'!$J$16)*heat_rate/(fuel_energy_per_mass*1000)</f>
        <v>5.4781766356388895E-10</v>
      </c>
      <c r="P112" s="130">
        <f>('Life Cycle Assessment Data'!$K$16+'Life Cycle Assessment Data'!$J$16)*heat_rate/(fuel_energy_per_mass*1000)</f>
        <v>5.4781766356388895E-10</v>
      </c>
      <c r="Q112" s="130">
        <f>('Life Cycle Assessment Data'!$K$16+'Life Cycle Assessment Data'!$J$16)*heat_rate/(fuel_energy_per_mass*1000)</f>
        <v>5.4781766356388895E-10</v>
      </c>
      <c r="R112" s="130">
        <f>('Life Cycle Assessment Data'!$K$16+'Life Cycle Assessment Data'!$J$16)*heat_rate/(fuel_energy_per_mass*1000)</f>
        <v>5.4781766356388895E-10</v>
      </c>
      <c r="S112" s="130">
        <f>('Life Cycle Assessment Data'!$K$16+'Life Cycle Assessment Data'!$J$16)*heat_rate/(fuel_energy_per_mass*1000)</f>
        <v>5.4781766356388895E-10</v>
      </c>
      <c r="T112" s="130">
        <f>('Life Cycle Assessment Data'!$K$16+'Life Cycle Assessment Data'!$J$16)*heat_rate/(fuel_energy_per_mass*1000)</f>
        <v>5.4781766356388895E-10</v>
      </c>
      <c r="U112" s="130">
        <f>('Life Cycle Assessment Data'!$K$16+'Life Cycle Assessment Data'!$J$16)*heat_rate/(fuel_energy_per_mass*1000)</f>
        <v>5.4781766356388895E-10</v>
      </c>
      <c r="V112" s="130">
        <f>('Life Cycle Assessment Data'!$K$16+'Life Cycle Assessment Data'!$J$16)*heat_rate/(fuel_energy_per_mass*1000)</f>
        <v>5.4781766356388895E-10</v>
      </c>
      <c r="W112" s="130">
        <f>('Life Cycle Assessment Data'!$K$16+'Life Cycle Assessment Data'!$J$16)*heat_rate/(fuel_energy_per_mass*1000)</f>
        <v>5.4781766356388895E-10</v>
      </c>
      <c r="X112" s="130">
        <f>('Life Cycle Assessment Data'!$K$16+'Life Cycle Assessment Data'!$J$16)*heat_rate/(fuel_energy_per_mass*1000)</f>
        <v>5.4781766356388895E-10</v>
      </c>
      <c r="Y112" s="130">
        <f>('Life Cycle Assessment Data'!$K$16+'Life Cycle Assessment Data'!$J$16)*heat_rate/(fuel_energy_per_mass*1000)</f>
        <v>5.4781766356388895E-10</v>
      </c>
      <c r="Z112" s="130">
        <f>('Life Cycle Assessment Data'!$K$16+'Life Cycle Assessment Data'!$J$16)*heat_rate/(fuel_energy_per_mass*1000)</f>
        <v>5.4781766356388895E-10</v>
      </c>
      <c r="AA112" s="130">
        <f>('Life Cycle Assessment Data'!$K$16+'Life Cycle Assessment Data'!$J$16)*heat_rate/(fuel_energy_per_mass*1000)</f>
        <v>5.4781766356388895E-10</v>
      </c>
      <c r="AB112" s="130">
        <f>('Life Cycle Assessment Data'!$K$16+'Life Cycle Assessment Data'!$J$16)*heat_rate/(fuel_energy_per_mass*1000)</f>
        <v>5.4781766356388895E-10</v>
      </c>
      <c r="AC112" s="130">
        <f>('Life Cycle Assessment Data'!$K$16+'Life Cycle Assessment Data'!$J$16)*heat_rate/(fuel_energy_per_mass*1000)</f>
        <v>5.4781766356388895E-10</v>
      </c>
      <c r="AD112" s="130">
        <f>('Life Cycle Assessment Data'!$K$16+'Life Cycle Assessment Data'!$J$16)*heat_rate/(fuel_energy_per_mass*1000)</f>
        <v>5.4781766356388895E-10</v>
      </c>
      <c r="AE112" s="130">
        <f>('Life Cycle Assessment Data'!$K$16+'Life Cycle Assessment Data'!$J$16)*heat_rate/(fuel_energy_per_mass*1000)</f>
        <v>5.4781766356388895E-10</v>
      </c>
      <c r="AF112" s="130">
        <f>('Life Cycle Assessment Data'!$K$16+'Life Cycle Assessment Data'!$J$16)*heat_rate/(fuel_energy_per_mass*1000)</f>
        <v>5.4781766356388895E-10</v>
      </c>
      <c r="AG112" s="130">
        <f>('Life Cycle Assessment Data'!$K$16+'Life Cycle Assessment Data'!$J$16)*heat_rate/(fuel_energy_per_mass*1000)</f>
        <v>5.4781766356388895E-10</v>
      </c>
      <c r="AH112" s="130">
        <f>('Life Cycle Assessment Data'!$K$16+'Life Cycle Assessment Data'!$J$16)*heat_rate/(fuel_energy_per_mass*1000)</f>
        <v>5.4781766356388895E-10</v>
      </c>
      <c r="AI112" s="130">
        <f>('Life Cycle Assessment Data'!$K$16+'Life Cycle Assessment Data'!$J$16)*heat_rate/(fuel_energy_per_mass*1000)</f>
        <v>5.4781766356388895E-10</v>
      </c>
      <c r="AJ112" s="130">
        <f>('Life Cycle Assessment Data'!$K$16+'Life Cycle Assessment Data'!$J$16)*heat_rate/(fuel_energy_per_mass*1000)</f>
        <v>5.4781766356388895E-10</v>
      </c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s="30" customFormat="1" x14ac:dyDescent="0.25">
      <c r="A113"/>
      <c r="B113" s="18" t="s">
        <v>168</v>
      </c>
      <c r="C113" s="117">
        <v>0</v>
      </c>
      <c r="D113" s="117">
        <v>0</v>
      </c>
      <c r="E113" s="117">
        <v>0</v>
      </c>
      <c r="F113" s="117">
        <f>'Life Cycle Assessment Data'!$L$16*heat_rate/(fuel_energy_per_mass*1000)</f>
        <v>3.003243138191697E-6</v>
      </c>
      <c r="G113" s="117">
        <f>'Life Cycle Assessment Data'!$L$16*heat_rate/(fuel_energy_per_mass*1000)</f>
        <v>3.003243138191697E-6</v>
      </c>
      <c r="H113" s="117">
        <f>'Life Cycle Assessment Data'!$L$16*heat_rate/(fuel_energy_per_mass*1000)</f>
        <v>3.003243138191697E-6</v>
      </c>
      <c r="I113" s="117">
        <f>'Life Cycle Assessment Data'!$L$16*heat_rate/(fuel_energy_per_mass*1000)</f>
        <v>3.003243138191697E-6</v>
      </c>
      <c r="J113" s="117">
        <f>'Life Cycle Assessment Data'!$L$16*heat_rate/(fuel_energy_per_mass*1000)</f>
        <v>3.003243138191697E-6</v>
      </c>
      <c r="K113" s="117">
        <f>'Life Cycle Assessment Data'!$L$16*heat_rate/(fuel_energy_per_mass*1000)</f>
        <v>3.003243138191697E-6</v>
      </c>
      <c r="L113" s="117">
        <f>'Life Cycle Assessment Data'!$L$16*heat_rate/(fuel_energy_per_mass*1000)</f>
        <v>3.003243138191697E-6</v>
      </c>
      <c r="M113" s="117">
        <f>'Life Cycle Assessment Data'!$L$16*heat_rate/(fuel_energy_per_mass*1000)</f>
        <v>3.003243138191697E-6</v>
      </c>
      <c r="N113" s="117">
        <f>'Life Cycle Assessment Data'!$L$16*heat_rate/(fuel_energy_per_mass*1000)</f>
        <v>3.003243138191697E-6</v>
      </c>
      <c r="O113" s="117">
        <f>'Life Cycle Assessment Data'!$L$16*heat_rate/(fuel_energy_per_mass*1000)</f>
        <v>3.003243138191697E-6</v>
      </c>
      <c r="P113" s="117">
        <f>'Life Cycle Assessment Data'!$L$16*heat_rate/(fuel_energy_per_mass*1000)</f>
        <v>3.003243138191697E-6</v>
      </c>
      <c r="Q113" s="117">
        <f>'Life Cycle Assessment Data'!$L$16*heat_rate/(fuel_energy_per_mass*1000)</f>
        <v>3.003243138191697E-6</v>
      </c>
      <c r="R113" s="117">
        <f>'Life Cycle Assessment Data'!$L$16*heat_rate/(fuel_energy_per_mass*1000)</f>
        <v>3.003243138191697E-6</v>
      </c>
      <c r="S113" s="117">
        <f>'Life Cycle Assessment Data'!$L$16*heat_rate/(fuel_energy_per_mass*1000)</f>
        <v>3.003243138191697E-6</v>
      </c>
      <c r="T113" s="117">
        <f>'Life Cycle Assessment Data'!$L$16*heat_rate/(fuel_energy_per_mass*1000)</f>
        <v>3.003243138191697E-6</v>
      </c>
      <c r="U113" s="117">
        <f>'Life Cycle Assessment Data'!$L$16*heat_rate/(fuel_energy_per_mass*1000)</f>
        <v>3.003243138191697E-6</v>
      </c>
      <c r="V113" s="117">
        <f>'Life Cycle Assessment Data'!$L$16*heat_rate/(fuel_energy_per_mass*1000)</f>
        <v>3.003243138191697E-6</v>
      </c>
      <c r="W113" s="117">
        <f>'Life Cycle Assessment Data'!$L$16*heat_rate/(fuel_energy_per_mass*1000)</f>
        <v>3.003243138191697E-6</v>
      </c>
      <c r="X113" s="117">
        <f>'Life Cycle Assessment Data'!$L$16*heat_rate/(fuel_energy_per_mass*1000)</f>
        <v>3.003243138191697E-6</v>
      </c>
      <c r="Y113" s="117">
        <f>'Life Cycle Assessment Data'!$L$16*heat_rate/(fuel_energy_per_mass*1000)</f>
        <v>3.003243138191697E-6</v>
      </c>
      <c r="Z113" s="117">
        <f>'Life Cycle Assessment Data'!$L$16*heat_rate/(fuel_energy_per_mass*1000)</f>
        <v>3.003243138191697E-6</v>
      </c>
      <c r="AA113" s="117">
        <f>'Life Cycle Assessment Data'!$L$16*heat_rate/(fuel_energy_per_mass*1000)</f>
        <v>3.003243138191697E-6</v>
      </c>
      <c r="AB113" s="117">
        <f>'Life Cycle Assessment Data'!$L$16*heat_rate/(fuel_energy_per_mass*1000)</f>
        <v>3.003243138191697E-6</v>
      </c>
      <c r="AC113" s="117">
        <f>'Life Cycle Assessment Data'!$L$16*heat_rate/(fuel_energy_per_mass*1000)</f>
        <v>3.003243138191697E-6</v>
      </c>
      <c r="AD113" s="117">
        <f>'Life Cycle Assessment Data'!$L$16*heat_rate/(fuel_energy_per_mass*1000)</f>
        <v>3.003243138191697E-6</v>
      </c>
      <c r="AE113" s="117">
        <f>'Life Cycle Assessment Data'!$L$16*heat_rate/(fuel_energy_per_mass*1000)</f>
        <v>3.003243138191697E-6</v>
      </c>
      <c r="AF113" s="117">
        <f>'Life Cycle Assessment Data'!$L$16*heat_rate/(fuel_energy_per_mass*1000)</f>
        <v>3.003243138191697E-6</v>
      </c>
      <c r="AG113" s="117">
        <f>'Life Cycle Assessment Data'!$L$16*heat_rate/(fuel_energy_per_mass*1000)</f>
        <v>3.003243138191697E-6</v>
      </c>
      <c r="AH113" s="117">
        <f>'Life Cycle Assessment Data'!$L$16*heat_rate/(fuel_energy_per_mass*1000)</f>
        <v>3.003243138191697E-6</v>
      </c>
      <c r="AI113" s="117">
        <f>'Life Cycle Assessment Data'!$L$16*heat_rate/(fuel_energy_per_mass*1000)</f>
        <v>3.003243138191697E-6</v>
      </c>
      <c r="AJ113" s="117">
        <f>'Life Cycle Assessment Data'!$L$16*heat_rate/(fuel_energy_per_mass*1000)</f>
        <v>3.003243138191697E-6</v>
      </c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s="30" customFormat="1" x14ac:dyDescent="0.25">
      <c r="A114"/>
      <c r="B114" s="18" t="s">
        <v>318</v>
      </c>
      <c r="C114" s="117">
        <f t="shared" ref="C114:AJ114" si="15">C112*heat_rate_CCS/heat_rate</f>
        <v>0</v>
      </c>
      <c r="D114" s="117">
        <f t="shared" si="15"/>
        <v>0</v>
      </c>
      <c r="E114" s="117">
        <f t="shared" si="15"/>
        <v>0</v>
      </c>
      <c r="F114" s="117">
        <f t="shared" si="15"/>
        <v>6.3954527234667971E-10</v>
      </c>
      <c r="G114" s="117">
        <f t="shared" si="15"/>
        <v>6.3954527234667971E-10</v>
      </c>
      <c r="H114" s="117">
        <f t="shared" si="15"/>
        <v>6.3954527234667971E-10</v>
      </c>
      <c r="I114" s="117">
        <f t="shared" si="15"/>
        <v>6.3954527234667971E-10</v>
      </c>
      <c r="J114" s="117">
        <f t="shared" si="15"/>
        <v>6.3954527234667971E-10</v>
      </c>
      <c r="K114" s="117">
        <f t="shared" si="15"/>
        <v>6.3954527234667971E-10</v>
      </c>
      <c r="L114" s="117">
        <f t="shared" si="15"/>
        <v>6.3954527234667971E-10</v>
      </c>
      <c r="M114" s="117">
        <f t="shared" si="15"/>
        <v>6.3954527234667971E-10</v>
      </c>
      <c r="N114" s="117">
        <f t="shared" si="15"/>
        <v>6.3954527234667971E-10</v>
      </c>
      <c r="O114" s="117">
        <f t="shared" si="15"/>
        <v>6.3954527234667971E-10</v>
      </c>
      <c r="P114" s="117">
        <f t="shared" si="15"/>
        <v>6.3954527234667971E-10</v>
      </c>
      <c r="Q114" s="117">
        <f t="shared" si="15"/>
        <v>6.3954527234667971E-10</v>
      </c>
      <c r="R114" s="117">
        <f t="shared" si="15"/>
        <v>6.3954527234667971E-10</v>
      </c>
      <c r="S114" s="117">
        <f t="shared" si="15"/>
        <v>6.3954527234667971E-10</v>
      </c>
      <c r="T114" s="117">
        <f t="shared" si="15"/>
        <v>6.3954527234667971E-10</v>
      </c>
      <c r="U114" s="117">
        <f t="shared" si="15"/>
        <v>6.3954527234667971E-10</v>
      </c>
      <c r="V114" s="117">
        <f t="shared" si="15"/>
        <v>6.3954527234667971E-10</v>
      </c>
      <c r="W114" s="117">
        <f t="shared" si="15"/>
        <v>6.3954527234667971E-10</v>
      </c>
      <c r="X114" s="117">
        <f t="shared" si="15"/>
        <v>6.3954527234667971E-10</v>
      </c>
      <c r="Y114" s="117">
        <f t="shared" si="15"/>
        <v>6.3954527234667971E-10</v>
      </c>
      <c r="Z114" s="117">
        <f t="shared" si="15"/>
        <v>6.3954527234667971E-10</v>
      </c>
      <c r="AA114" s="117">
        <f t="shared" si="15"/>
        <v>6.3954527234667971E-10</v>
      </c>
      <c r="AB114" s="117">
        <f t="shared" si="15"/>
        <v>6.3954527234667971E-10</v>
      </c>
      <c r="AC114" s="117">
        <f t="shared" si="15"/>
        <v>6.3954527234667971E-10</v>
      </c>
      <c r="AD114" s="117">
        <f t="shared" si="15"/>
        <v>6.3954527234667971E-10</v>
      </c>
      <c r="AE114" s="117">
        <f t="shared" si="15"/>
        <v>6.3954527234667971E-10</v>
      </c>
      <c r="AF114" s="117">
        <f t="shared" si="15"/>
        <v>6.3954527234667971E-10</v>
      </c>
      <c r="AG114" s="117">
        <f t="shared" si="15"/>
        <v>6.3954527234667971E-10</v>
      </c>
      <c r="AH114" s="117">
        <f t="shared" si="15"/>
        <v>6.3954527234667971E-10</v>
      </c>
      <c r="AI114" s="117">
        <f t="shared" si="15"/>
        <v>6.3954527234667971E-10</v>
      </c>
      <c r="AJ114" s="117">
        <f t="shared" si="15"/>
        <v>6.3954527234667971E-10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s="30" customFormat="1" x14ac:dyDescent="0.25">
      <c r="A115"/>
      <c r="B115" s="18" t="s">
        <v>319</v>
      </c>
      <c r="C115" s="117">
        <f t="shared" ref="C115:AJ115" si="16">C113*heat_rate_CCS/heat_rate</f>
        <v>0</v>
      </c>
      <c r="D115" s="117">
        <f t="shared" si="16"/>
        <v>0</v>
      </c>
      <c r="E115" s="117">
        <f t="shared" si="16"/>
        <v>0</v>
      </c>
      <c r="F115" s="117">
        <f t="shared" si="16"/>
        <v>3.5061117566796089E-6</v>
      </c>
      <c r="G115" s="117">
        <f t="shared" si="16"/>
        <v>3.5061117566796089E-6</v>
      </c>
      <c r="H115" s="117">
        <f t="shared" si="16"/>
        <v>3.5061117566796089E-6</v>
      </c>
      <c r="I115" s="117">
        <f t="shared" si="16"/>
        <v>3.5061117566796089E-6</v>
      </c>
      <c r="J115" s="117">
        <f t="shared" si="16"/>
        <v>3.5061117566796089E-6</v>
      </c>
      <c r="K115" s="117">
        <f t="shared" si="16"/>
        <v>3.5061117566796089E-6</v>
      </c>
      <c r="L115" s="117">
        <f t="shared" si="16"/>
        <v>3.5061117566796089E-6</v>
      </c>
      <c r="M115" s="117">
        <f t="shared" si="16"/>
        <v>3.5061117566796089E-6</v>
      </c>
      <c r="N115" s="117">
        <f t="shared" si="16"/>
        <v>3.5061117566796089E-6</v>
      </c>
      <c r="O115" s="117">
        <f t="shared" si="16"/>
        <v>3.5061117566796089E-6</v>
      </c>
      <c r="P115" s="117">
        <f t="shared" si="16"/>
        <v>3.5061117566796089E-6</v>
      </c>
      <c r="Q115" s="117">
        <f t="shared" si="16"/>
        <v>3.5061117566796089E-6</v>
      </c>
      <c r="R115" s="117">
        <f t="shared" si="16"/>
        <v>3.5061117566796089E-6</v>
      </c>
      <c r="S115" s="117">
        <f t="shared" si="16"/>
        <v>3.5061117566796089E-6</v>
      </c>
      <c r="T115" s="117">
        <f t="shared" si="16"/>
        <v>3.5061117566796089E-6</v>
      </c>
      <c r="U115" s="117">
        <f t="shared" si="16"/>
        <v>3.5061117566796089E-6</v>
      </c>
      <c r="V115" s="117">
        <f t="shared" si="16"/>
        <v>3.5061117566796089E-6</v>
      </c>
      <c r="W115" s="117">
        <f t="shared" si="16"/>
        <v>3.5061117566796089E-6</v>
      </c>
      <c r="X115" s="117">
        <f t="shared" si="16"/>
        <v>3.5061117566796089E-6</v>
      </c>
      <c r="Y115" s="117">
        <f t="shared" si="16"/>
        <v>3.5061117566796089E-6</v>
      </c>
      <c r="Z115" s="117">
        <f t="shared" si="16"/>
        <v>3.5061117566796089E-6</v>
      </c>
      <c r="AA115" s="117">
        <f t="shared" si="16"/>
        <v>3.5061117566796089E-6</v>
      </c>
      <c r="AB115" s="117">
        <f t="shared" si="16"/>
        <v>3.5061117566796089E-6</v>
      </c>
      <c r="AC115" s="117">
        <f t="shared" si="16"/>
        <v>3.5061117566796089E-6</v>
      </c>
      <c r="AD115" s="117">
        <f t="shared" si="16"/>
        <v>3.5061117566796089E-6</v>
      </c>
      <c r="AE115" s="117">
        <f t="shared" si="16"/>
        <v>3.5061117566796089E-6</v>
      </c>
      <c r="AF115" s="117">
        <f t="shared" si="16"/>
        <v>3.5061117566796089E-6</v>
      </c>
      <c r="AG115" s="117">
        <f t="shared" si="16"/>
        <v>3.5061117566796089E-6</v>
      </c>
      <c r="AH115" s="117">
        <f t="shared" si="16"/>
        <v>3.5061117566796089E-6</v>
      </c>
      <c r="AI115" s="117">
        <f t="shared" si="16"/>
        <v>3.5061117566796089E-6</v>
      </c>
      <c r="AJ115" s="117">
        <f t="shared" si="16"/>
        <v>3.5061117566796089E-6</v>
      </c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s="30" customFormat="1" x14ac:dyDescent="0.25">
      <c r="A116"/>
      <c r="B116" s="18" t="s">
        <v>181</v>
      </c>
      <c r="C116" s="117">
        <v>0</v>
      </c>
      <c r="D116" s="117">
        <v>0</v>
      </c>
      <c r="E116" s="117">
        <v>0</v>
      </c>
      <c r="F116" s="117">
        <v>0</v>
      </c>
      <c r="G116" s="117">
        <v>0</v>
      </c>
      <c r="H116" s="117">
        <v>0</v>
      </c>
      <c r="I116" s="117">
        <v>0</v>
      </c>
      <c r="J116" s="117">
        <v>0</v>
      </c>
      <c r="K116" s="117">
        <v>0</v>
      </c>
      <c r="L116" s="117">
        <v>0</v>
      </c>
      <c r="M116" s="117">
        <v>0</v>
      </c>
      <c r="N116" s="117">
        <v>0</v>
      </c>
      <c r="O116" s="117">
        <v>0</v>
      </c>
      <c r="P116" s="117">
        <v>0</v>
      </c>
      <c r="Q116" s="117">
        <v>0</v>
      </c>
      <c r="R116" s="117">
        <v>0</v>
      </c>
      <c r="S116" s="117">
        <v>0</v>
      </c>
      <c r="T116" s="117">
        <v>0</v>
      </c>
      <c r="U116" s="117">
        <v>0</v>
      </c>
      <c r="V116" s="117">
        <v>0</v>
      </c>
      <c r="W116" s="117">
        <v>0</v>
      </c>
      <c r="X116" s="117">
        <v>0</v>
      </c>
      <c r="Y116" s="117">
        <v>0</v>
      </c>
      <c r="Z116" s="117">
        <v>0</v>
      </c>
      <c r="AA116" s="117">
        <v>0</v>
      </c>
      <c r="AB116" s="117">
        <v>0</v>
      </c>
      <c r="AC116" s="117">
        <v>0</v>
      </c>
      <c r="AD116" s="117">
        <v>0</v>
      </c>
      <c r="AE116" s="117">
        <v>0</v>
      </c>
      <c r="AF116" s="117">
        <v>0</v>
      </c>
      <c r="AG116" s="117">
        <v>0</v>
      </c>
      <c r="AH116" s="117">
        <v>0</v>
      </c>
      <c r="AI116" s="117">
        <v>0</v>
      </c>
      <c r="AJ116" s="117">
        <v>0</v>
      </c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s="30" customFormat="1" x14ac:dyDescent="0.25">
      <c r="A117"/>
      <c r="B117" s="18" t="s">
        <v>320</v>
      </c>
      <c r="C117" s="117">
        <f t="shared" ref="C117:AJ117" si="17">C116*heat_rate_CCS/heat_rate</f>
        <v>0</v>
      </c>
      <c r="D117" s="117">
        <f t="shared" si="17"/>
        <v>0</v>
      </c>
      <c r="E117" s="117">
        <f t="shared" si="17"/>
        <v>0</v>
      </c>
      <c r="F117" s="117">
        <f t="shared" si="17"/>
        <v>0</v>
      </c>
      <c r="G117" s="117">
        <f t="shared" si="17"/>
        <v>0</v>
      </c>
      <c r="H117" s="117">
        <f t="shared" si="17"/>
        <v>0</v>
      </c>
      <c r="I117" s="117">
        <f t="shared" si="17"/>
        <v>0</v>
      </c>
      <c r="J117" s="117">
        <f t="shared" si="17"/>
        <v>0</v>
      </c>
      <c r="K117" s="117">
        <f t="shared" si="17"/>
        <v>0</v>
      </c>
      <c r="L117" s="117">
        <f t="shared" si="17"/>
        <v>0</v>
      </c>
      <c r="M117" s="117">
        <f t="shared" si="17"/>
        <v>0</v>
      </c>
      <c r="N117" s="117">
        <f t="shared" si="17"/>
        <v>0</v>
      </c>
      <c r="O117" s="117">
        <f t="shared" si="17"/>
        <v>0</v>
      </c>
      <c r="P117" s="117">
        <f t="shared" si="17"/>
        <v>0</v>
      </c>
      <c r="Q117" s="117">
        <f t="shared" si="17"/>
        <v>0</v>
      </c>
      <c r="R117" s="117">
        <f t="shared" si="17"/>
        <v>0</v>
      </c>
      <c r="S117" s="117">
        <f t="shared" si="17"/>
        <v>0</v>
      </c>
      <c r="T117" s="117">
        <f t="shared" si="17"/>
        <v>0</v>
      </c>
      <c r="U117" s="117">
        <f t="shared" si="17"/>
        <v>0</v>
      </c>
      <c r="V117" s="117">
        <f t="shared" si="17"/>
        <v>0</v>
      </c>
      <c r="W117" s="117">
        <f t="shared" si="17"/>
        <v>0</v>
      </c>
      <c r="X117" s="117">
        <f t="shared" si="17"/>
        <v>0</v>
      </c>
      <c r="Y117" s="117">
        <f t="shared" si="17"/>
        <v>0</v>
      </c>
      <c r="Z117" s="117">
        <f t="shared" si="17"/>
        <v>0</v>
      </c>
      <c r="AA117" s="117">
        <f t="shared" si="17"/>
        <v>0</v>
      </c>
      <c r="AB117" s="117">
        <f t="shared" si="17"/>
        <v>0</v>
      </c>
      <c r="AC117" s="117">
        <f t="shared" si="17"/>
        <v>0</v>
      </c>
      <c r="AD117" s="117">
        <f t="shared" si="17"/>
        <v>0</v>
      </c>
      <c r="AE117" s="117">
        <f t="shared" si="17"/>
        <v>0</v>
      </c>
      <c r="AF117" s="117">
        <f t="shared" si="17"/>
        <v>0</v>
      </c>
      <c r="AG117" s="117">
        <f t="shared" si="17"/>
        <v>0</v>
      </c>
      <c r="AH117" s="117">
        <f t="shared" si="17"/>
        <v>0</v>
      </c>
      <c r="AI117" s="117">
        <f t="shared" si="17"/>
        <v>0</v>
      </c>
      <c r="AJ117" s="117">
        <f t="shared" si="17"/>
        <v>0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s="30" customFormat="1" x14ac:dyDescent="0.25">
      <c r="A118"/>
      <c r="B118" s="18" t="s">
        <v>169</v>
      </c>
      <c r="C118" s="117">
        <v>0</v>
      </c>
      <c r="D118" s="117">
        <v>0</v>
      </c>
      <c r="E118" s="117">
        <v>0</v>
      </c>
      <c r="F118" s="130">
        <f>'Life Cycle Assessment Data'!$H$31</f>
        <v>7.4699999999999995E-12</v>
      </c>
      <c r="G118" s="130">
        <f>'Life Cycle Assessment Data'!$H$31</f>
        <v>7.4699999999999995E-12</v>
      </c>
      <c r="H118" s="130">
        <f>'Life Cycle Assessment Data'!$H$31</f>
        <v>7.4699999999999995E-12</v>
      </c>
      <c r="I118" s="130">
        <f>'Life Cycle Assessment Data'!$H$31</f>
        <v>7.4699999999999995E-12</v>
      </c>
      <c r="J118" s="130">
        <f>'Life Cycle Assessment Data'!$H$31</f>
        <v>7.4699999999999995E-12</v>
      </c>
      <c r="K118" s="130">
        <f>'Life Cycle Assessment Data'!$H$31</f>
        <v>7.4699999999999995E-12</v>
      </c>
      <c r="L118" s="130">
        <f>'Life Cycle Assessment Data'!$H$31</f>
        <v>7.4699999999999995E-12</v>
      </c>
      <c r="M118" s="130">
        <f>'Life Cycle Assessment Data'!$H$31</f>
        <v>7.4699999999999995E-12</v>
      </c>
      <c r="N118" s="130">
        <f>'Life Cycle Assessment Data'!$H$31</f>
        <v>7.4699999999999995E-12</v>
      </c>
      <c r="O118" s="130">
        <f>'Life Cycle Assessment Data'!$H$31</f>
        <v>7.4699999999999995E-12</v>
      </c>
      <c r="P118" s="130">
        <f>'Life Cycle Assessment Data'!$H$31</f>
        <v>7.4699999999999995E-12</v>
      </c>
      <c r="Q118" s="130">
        <f>'Life Cycle Assessment Data'!$H$31</f>
        <v>7.4699999999999995E-12</v>
      </c>
      <c r="R118" s="130">
        <f>'Life Cycle Assessment Data'!$H$31</f>
        <v>7.4699999999999995E-12</v>
      </c>
      <c r="S118" s="130">
        <f>'Life Cycle Assessment Data'!$H$31</f>
        <v>7.4699999999999995E-12</v>
      </c>
      <c r="T118" s="130">
        <f>'Life Cycle Assessment Data'!$H$31</f>
        <v>7.4699999999999995E-12</v>
      </c>
      <c r="U118" s="130">
        <f>'Life Cycle Assessment Data'!$H$31</f>
        <v>7.4699999999999995E-12</v>
      </c>
      <c r="V118" s="130">
        <f>'Life Cycle Assessment Data'!$H$31</f>
        <v>7.4699999999999995E-12</v>
      </c>
      <c r="W118" s="130">
        <f>'Life Cycle Assessment Data'!$H$31</f>
        <v>7.4699999999999995E-12</v>
      </c>
      <c r="X118" s="130">
        <f>'Life Cycle Assessment Data'!$H$31</f>
        <v>7.4699999999999995E-12</v>
      </c>
      <c r="Y118" s="130">
        <f>'Life Cycle Assessment Data'!$H$31</f>
        <v>7.4699999999999995E-12</v>
      </c>
      <c r="Z118" s="130">
        <f>'Life Cycle Assessment Data'!$H$31</f>
        <v>7.4699999999999995E-12</v>
      </c>
      <c r="AA118" s="130">
        <f>'Life Cycle Assessment Data'!$H$31</f>
        <v>7.4699999999999995E-12</v>
      </c>
      <c r="AB118" s="130">
        <f>'Life Cycle Assessment Data'!$H$31</f>
        <v>7.4699999999999995E-12</v>
      </c>
      <c r="AC118" s="130">
        <f>'Life Cycle Assessment Data'!$H$31</f>
        <v>7.4699999999999995E-12</v>
      </c>
      <c r="AD118" s="130">
        <f>'Life Cycle Assessment Data'!$H$31</f>
        <v>7.4699999999999995E-12</v>
      </c>
      <c r="AE118" s="130">
        <f>'Life Cycle Assessment Data'!$H$31</f>
        <v>7.4699999999999995E-12</v>
      </c>
      <c r="AF118" s="130">
        <f>'Life Cycle Assessment Data'!$H$31</f>
        <v>7.4699999999999995E-12</v>
      </c>
      <c r="AG118" s="130">
        <f>'Life Cycle Assessment Data'!$H$31</f>
        <v>7.4699999999999995E-12</v>
      </c>
      <c r="AH118" s="130">
        <f>'Life Cycle Assessment Data'!$H$31</f>
        <v>7.4699999999999995E-12</v>
      </c>
      <c r="AI118" s="130">
        <f>'Life Cycle Assessment Data'!$H$31</f>
        <v>7.4699999999999995E-12</v>
      </c>
      <c r="AJ118" s="130">
        <f>'Life Cycle Assessment Data'!$H$31</f>
        <v>7.4699999999999995E-12</v>
      </c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s="30" customFormat="1" x14ac:dyDescent="0.25">
      <c r="A119"/>
      <c r="B119" s="15" t="s">
        <v>170</v>
      </c>
      <c r="C119" s="117">
        <v>0</v>
      </c>
      <c r="D119" s="117">
        <v>0</v>
      </c>
      <c r="E119" s="117">
        <v>0</v>
      </c>
      <c r="F119" s="130">
        <f>'Life Cycle Assessment Data'!$H$46</f>
        <v>8.7600000000000006E-12</v>
      </c>
      <c r="G119" s="130">
        <f>'Life Cycle Assessment Data'!$H$46</f>
        <v>8.7600000000000006E-12</v>
      </c>
      <c r="H119" s="130">
        <f>'Life Cycle Assessment Data'!$H$46</f>
        <v>8.7600000000000006E-12</v>
      </c>
      <c r="I119" s="130">
        <f>'Life Cycle Assessment Data'!$H$46</f>
        <v>8.7600000000000006E-12</v>
      </c>
      <c r="J119" s="130">
        <f>'Life Cycle Assessment Data'!$H$46</f>
        <v>8.7600000000000006E-12</v>
      </c>
      <c r="K119" s="130">
        <f>'Life Cycle Assessment Data'!$H$46</f>
        <v>8.7600000000000006E-12</v>
      </c>
      <c r="L119" s="130">
        <f>'Life Cycle Assessment Data'!$H$46</f>
        <v>8.7600000000000006E-12</v>
      </c>
      <c r="M119" s="130">
        <f>'Life Cycle Assessment Data'!$H$46</f>
        <v>8.7600000000000006E-12</v>
      </c>
      <c r="N119" s="130">
        <f>'Life Cycle Assessment Data'!$H$46</f>
        <v>8.7600000000000006E-12</v>
      </c>
      <c r="O119" s="130">
        <f>'Life Cycle Assessment Data'!$H$46</f>
        <v>8.7600000000000006E-12</v>
      </c>
      <c r="P119" s="130">
        <f>'Life Cycle Assessment Data'!$H$46</f>
        <v>8.7600000000000006E-12</v>
      </c>
      <c r="Q119" s="130">
        <f>'Life Cycle Assessment Data'!$H$46</f>
        <v>8.7600000000000006E-12</v>
      </c>
      <c r="R119" s="130">
        <f>'Life Cycle Assessment Data'!$H$46</f>
        <v>8.7600000000000006E-12</v>
      </c>
      <c r="S119" s="130">
        <f>'Life Cycle Assessment Data'!$H$46</f>
        <v>8.7600000000000006E-12</v>
      </c>
      <c r="T119" s="130">
        <f>'Life Cycle Assessment Data'!$H$46</f>
        <v>8.7600000000000006E-12</v>
      </c>
      <c r="U119" s="130">
        <f>'Life Cycle Assessment Data'!$H$46</f>
        <v>8.7600000000000006E-12</v>
      </c>
      <c r="V119" s="130">
        <f>'Life Cycle Assessment Data'!$H$46</f>
        <v>8.7600000000000006E-12</v>
      </c>
      <c r="W119" s="130">
        <f>'Life Cycle Assessment Data'!$H$46</f>
        <v>8.7600000000000006E-12</v>
      </c>
      <c r="X119" s="130">
        <f>'Life Cycle Assessment Data'!$H$46</f>
        <v>8.7600000000000006E-12</v>
      </c>
      <c r="Y119" s="130">
        <f>'Life Cycle Assessment Data'!$H$46</f>
        <v>8.7600000000000006E-12</v>
      </c>
      <c r="Z119" s="130">
        <f>'Life Cycle Assessment Data'!$H$46</f>
        <v>8.7600000000000006E-12</v>
      </c>
      <c r="AA119" s="130">
        <f>'Life Cycle Assessment Data'!$H$46</f>
        <v>8.7600000000000006E-12</v>
      </c>
      <c r="AB119" s="130">
        <f>'Life Cycle Assessment Data'!$H$46</f>
        <v>8.7600000000000006E-12</v>
      </c>
      <c r="AC119" s="130">
        <f>'Life Cycle Assessment Data'!$H$46</f>
        <v>8.7600000000000006E-12</v>
      </c>
      <c r="AD119" s="130">
        <f>'Life Cycle Assessment Data'!$H$46</f>
        <v>8.7600000000000006E-12</v>
      </c>
      <c r="AE119" s="130">
        <f>'Life Cycle Assessment Data'!$H$46</f>
        <v>8.7600000000000006E-12</v>
      </c>
      <c r="AF119" s="130">
        <f>'Life Cycle Assessment Data'!$H$46</f>
        <v>8.7600000000000006E-12</v>
      </c>
      <c r="AG119" s="130">
        <f>'Life Cycle Assessment Data'!$H$46</f>
        <v>8.7600000000000006E-12</v>
      </c>
      <c r="AH119" s="130">
        <f>'Life Cycle Assessment Data'!$H$46</f>
        <v>8.7600000000000006E-12</v>
      </c>
      <c r="AI119" s="130">
        <f>'Life Cycle Assessment Data'!$H$46</f>
        <v>8.7600000000000006E-12</v>
      </c>
      <c r="AJ119" s="130">
        <f>'Life Cycle Assessment Data'!$H$46</f>
        <v>8.7600000000000006E-12</v>
      </c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s="30" customFormat="1" x14ac:dyDescent="0.25">
      <c r="A120"/>
      <c r="B120" s="15" t="s">
        <v>171</v>
      </c>
      <c r="C120" s="117">
        <v>0</v>
      </c>
      <c r="D120" s="117">
        <v>0</v>
      </c>
      <c r="E120" s="117">
        <v>0</v>
      </c>
      <c r="F120" s="131">
        <f>0</f>
        <v>0</v>
      </c>
      <c r="G120" s="131">
        <f>0</f>
        <v>0</v>
      </c>
      <c r="H120" s="131">
        <f>0</f>
        <v>0</v>
      </c>
      <c r="I120" s="131">
        <f>0</f>
        <v>0</v>
      </c>
      <c r="J120" s="131">
        <f>0</f>
        <v>0</v>
      </c>
      <c r="K120" s="131">
        <f>0</f>
        <v>0</v>
      </c>
      <c r="L120" s="131">
        <f>0</f>
        <v>0</v>
      </c>
      <c r="M120" s="131">
        <f>0</f>
        <v>0</v>
      </c>
      <c r="N120" s="131">
        <f>0</f>
        <v>0</v>
      </c>
      <c r="O120" s="131">
        <f>0</f>
        <v>0</v>
      </c>
      <c r="P120" s="131">
        <f>0</f>
        <v>0</v>
      </c>
      <c r="Q120" s="131">
        <f>0</f>
        <v>0</v>
      </c>
      <c r="R120" s="131">
        <f>0</f>
        <v>0</v>
      </c>
      <c r="S120" s="131">
        <f>0</f>
        <v>0</v>
      </c>
      <c r="T120" s="131">
        <f>0</f>
        <v>0</v>
      </c>
      <c r="U120" s="131">
        <f>0</f>
        <v>0</v>
      </c>
      <c r="V120" s="131">
        <f>0</f>
        <v>0</v>
      </c>
      <c r="W120" s="131">
        <f>0</f>
        <v>0</v>
      </c>
      <c r="X120" s="131">
        <f>0</f>
        <v>0</v>
      </c>
      <c r="Y120" s="131">
        <f>0</f>
        <v>0</v>
      </c>
      <c r="Z120" s="131">
        <f>0</f>
        <v>0</v>
      </c>
      <c r="AA120" s="131">
        <f>0</f>
        <v>0</v>
      </c>
      <c r="AB120" s="131">
        <f>0</f>
        <v>0</v>
      </c>
      <c r="AC120" s="131">
        <f>0</f>
        <v>0</v>
      </c>
      <c r="AD120" s="131">
        <f>0</f>
        <v>0</v>
      </c>
      <c r="AE120" s="131">
        <f>0</f>
        <v>0</v>
      </c>
      <c r="AF120" s="131">
        <f>0</f>
        <v>0</v>
      </c>
      <c r="AG120" s="131">
        <f>0</f>
        <v>0</v>
      </c>
      <c r="AH120" s="131">
        <f>0</f>
        <v>0</v>
      </c>
      <c r="AI120" s="131">
        <f>0</f>
        <v>0</v>
      </c>
      <c r="AJ120" s="131">
        <f>0</f>
        <v>0</v>
      </c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s="30" customFormat="1" x14ac:dyDescent="0.25">
      <c r="A121"/>
      <c r="B121" s="15" t="s">
        <v>172</v>
      </c>
      <c r="C121" s="117">
        <v>0</v>
      </c>
      <c r="D121" s="117">
        <v>0</v>
      </c>
      <c r="E121" s="117">
        <v>0</v>
      </c>
      <c r="F121" s="117">
        <f>'Life Cycle Assessment Data'!$H$31</f>
        <v>7.4699999999999995E-12</v>
      </c>
      <c r="G121" s="117">
        <f>'Life Cycle Assessment Data'!$H$31</f>
        <v>7.4699999999999995E-12</v>
      </c>
      <c r="H121" s="117">
        <f>'Life Cycle Assessment Data'!$H$31</f>
        <v>7.4699999999999995E-12</v>
      </c>
      <c r="I121" s="117">
        <f>'Life Cycle Assessment Data'!$H$31</f>
        <v>7.4699999999999995E-12</v>
      </c>
      <c r="J121" s="117">
        <f>'Life Cycle Assessment Data'!$H$31</f>
        <v>7.4699999999999995E-12</v>
      </c>
      <c r="K121" s="117">
        <f>'Life Cycle Assessment Data'!$H$31</f>
        <v>7.4699999999999995E-12</v>
      </c>
      <c r="L121" s="117">
        <f>'Life Cycle Assessment Data'!$H$31</f>
        <v>7.4699999999999995E-12</v>
      </c>
      <c r="M121" s="117">
        <f>'Life Cycle Assessment Data'!$H$31</f>
        <v>7.4699999999999995E-12</v>
      </c>
      <c r="N121" s="117">
        <f>'Life Cycle Assessment Data'!$H$31</f>
        <v>7.4699999999999995E-12</v>
      </c>
      <c r="O121" s="117">
        <f>'Life Cycle Assessment Data'!$H$31</f>
        <v>7.4699999999999995E-12</v>
      </c>
      <c r="P121" s="117">
        <f>'Life Cycle Assessment Data'!$H$31</f>
        <v>7.4699999999999995E-12</v>
      </c>
      <c r="Q121" s="117">
        <f>'Life Cycle Assessment Data'!$H$31</f>
        <v>7.4699999999999995E-12</v>
      </c>
      <c r="R121" s="117">
        <f>'Life Cycle Assessment Data'!$H$31</f>
        <v>7.4699999999999995E-12</v>
      </c>
      <c r="S121" s="117">
        <f>'Life Cycle Assessment Data'!$H$31</f>
        <v>7.4699999999999995E-12</v>
      </c>
      <c r="T121" s="117">
        <f>'Life Cycle Assessment Data'!$H$31</f>
        <v>7.4699999999999995E-12</v>
      </c>
      <c r="U121" s="117">
        <f>'Life Cycle Assessment Data'!$H$31</f>
        <v>7.4699999999999995E-12</v>
      </c>
      <c r="V121" s="117">
        <f>'Life Cycle Assessment Data'!$H$31</f>
        <v>7.4699999999999995E-12</v>
      </c>
      <c r="W121" s="117">
        <f>'Life Cycle Assessment Data'!$H$31</f>
        <v>7.4699999999999995E-12</v>
      </c>
      <c r="X121" s="117">
        <f>'Life Cycle Assessment Data'!$H$31</f>
        <v>7.4699999999999995E-12</v>
      </c>
      <c r="Y121" s="117">
        <f>'Life Cycle Assessment Data'!$H$31</f>
        <v>7.4699999999999995E-12</v>
      </c>
      <c r="Z121" s="117">
        <f>'Life Cycle Assessment Data'!$H$31</f>
        <v>7.4699999999999995E-12</v>
      </c>
      <c r="AA121" s="117">
        <f>'Life Cycle Assessment Data'!$H$31</f>
        <v>7.4699999999999995E-12</v>
      </c>
      <c r="AB121" s="117">
        <f>'Life Cycle Assessment Data'!$H$31</f>
        <v>7.4699999999999995E-12</v>
      </c>
      <c r="AC121" s="117">
        <f>'Life Cycle Assessment Data'!$H$31</f>
        <v>7.4699999999999995E-12</v>
      </c>
      <c r="AD121" s="117">
        <f>'Life Cycle Assessment Data'!$H$31</f>
        <v>7.4699999999999995E-12</v>
      </c>
      <c r="AE121" s="117">
        <f>'Life Cycle Assessment Data'!$H$31</f>
        <v>7.4699999999999995E-12</v>
      </c>
      <c r="AF121" s="117">
        <f>'Life Cycle Assessment Data'!$H$31</f>
        <v>7.4699999999999995E-12</v>
      </c>
      <c r="AG121" s="117">
        <f>'Life Cycle Assessment Data'!$H$31</f>
        <v>7.4699999999999995E-12</v>
      </c>
      <c r="AH121" s="117">
        <f>'Life Cycle Assessment Data'!$H$31</f>
        <v>7.4699999999999995E-12</v>
      </c>
      <c r="AI121" s="117">
        <f>'Life Cycle Assessment Data'!$H$31</f>
        <v>7.4699999999999995E-12</v>
      </c>
      <c r="AJ121" s="117">
        <f>'Life Cycle Assessment Data'!$H$31</f>
        <v>7.4699999999999995E-12</v>
      </c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s="30" customFormat="1" x14ac:dyDescent="0.25">
      <c r="A122"/>
      <c r="B122" s="68" t="s">
        <v>173</v>
      </c>
      <c r="C122" s="171">
        <v>0</v>
      </c>
      <c r="D122" s="171">
        <v>0</v>
      </c>
      <c r="E122" s="171">
        <v>0</v>
      </c>
      <c r="F122" s="218">
        <f>'Life Cycle Assessment Data'!$H$46</f>
        <v>8.7600000000000006E-12</v>
      </c>
      <c r="G122" s="218">
        <f>'Life Cycle Assessment Data'!$H$46</f>
        <v>8.7600000000000006E-12</v>
      </c>
      <c r="H122" s="218">
        <f>'Life Cycle Assessment Data'!$H$46</f>
        <v>8.7600000000000006E-12</v>
      </c>
      <c r="I122" s="218">
        <f>'Life Cycle Assessment Data'!$H$46</f>
        <v>8.7600000000000006E-12</v>
      </c>
      <c r="J122" s="218">
        <f>'Life Cycle Assessment Data'!$H$46</f>
        <v>8.7600000000000006E-12</v>
      </c>
      <c r="K122" s="218">
        <f>'Life Cycle Assessment Data'!$H$46</f>
        <v>8.7600000000000006E-12</v>
      </c>
      <c r="L122" s="218">
        <f>'Life Cycle Assessment Data'!$H$46</f>
        <v>8.7600000000000006E-12</v>
      </c>
      <c r="M122" s="218">
        <f>'Life Cycle Assessment Data'!$H$46</f>
        <v>8.7600000000000006E-12</v>
      </c>
      <c r="N122" s="218">
        <f>'Life Cycle Assessment Data'!$H$46</f>
        <v>8.7600000000000006E-12</v>
      </c>
      <c r="O122" s="218">
        <f>'Life Cycle Assessment Data'!$H$46</f>
        <v>8.7600000000000006E-12</v>
      </c>
      <c r="P122" s="218">
        <f>'Life Cycle Assessment Data'!$H$46</f>
        <v>8.7600000000000006E-12</v>
      </c>
      <c r="Q122" s="218">
        <f>'Life Cycle Assessment Data'!$H$46</f>
        <v>8.7600000000000006E-12</v>
      </c>
      <c r="R122" s="218">
        <f>'Life Cycle Assessment Data'!$H$46</f>
        <v>8.7600000000000006E-12</v>
      </c>
      <c r="S122" s="218">
        <f>'Life Cycle Assessment Data'!$H$46</f>
        <v>8.7600000000000006E-12</v>
      </c>
      <c r="T122" s="218">
        <f>'Life Cycle Assessment Data'!$H$46</f>
        <v>8.7600000000000006E-12</v>
      </c>
      <c r="U122" s="218">
        <f>'Life Cycle Assessment Data'!$H$46</f>
        <v>8.7600000000000006E-12</v>
      </c>
      <c r="V122" s="218">
        <f>'Life Cycle Assessment Data'!$H$46</f>
        <v>8.7600000000000006E-12</v>
      </c>
      <c r="W122" s="218">
        <f>'Life Cycle Assessment Data'!$H$46</f>
        <v>8.7600000000000006E-12</v>
      </c>
      <c r="X122" s="218">
        <f>'Life Cycle Assessment Data'!$H$46</f>
        <v>8.7600000000000006E-12</v>
      </c>
      <c r="Y122" s="218">
        <f>'Life Cycle Assessment Data'!$H$46</f>
        <v>8.7600000000000006E-12</v>
      </c>
      <c r="Z122" s="218">
        <f>'Life Cycle Assessment Data'!$H$46</f>
        <v>8.7600000000000006E-12</v>
      </c>
      <c r="AA122" s="218">
        <f>'Life Cycle Assessment Data'!$H$46</f>
        <v>8.7600000000000006E-12</v>
      </c>
      <c r="AB122" s="218">
        <f>'Life Cycle Assessment Data'!$H$46</f>
        <v>8.7600000000000006E-12</v>
      </c>
      <c r="AC122" s="218">
        <f>'Life Cycle Assessment Data'!$H$46</f>
        <v>8.7600000000000006E-12</v>
      </c>
      <c r="AD122" s="218">
        <f>'Life Cycle Assessment Data'!$H$46</f>
        <v>8.7600000000000006E-12</v>
      </c>
      <c r="AE122" s="218">
        <f>'Life Cycle Assessment Data'!$H$46</f>
        <v>8.7600000000000006E-12</v>
      </c>
      <c r="AF122" s="218">
        <f>'Life Cycle Assessment Data'!$H$46</f>
        <v>8.7600000000000006E-12</v>
      </c>
      <c r="AG122" s="218">
        <f>'Life Cycle Assessment Data'!$H$46</f>
        <v>8.7600000000000006E-12</v>
      </c>
      <c r="AH122" s="218">
        <f>'Life Cycle Assessment Data'!$H$46</f>
        <v>8.7600000000000006E-12</v>
      </c>
      <c r="AI122" s="218">
        <f>'Life Cycle Assessment Data'!$H$46</f>
        <v>8.7600000000000006E-12</v>
      </c>
      <c r="AJ122" s="218">
        <f>'Life Cycle Assessment Data'!$H$46</f>
        <v>8.7600000000000006E-12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s="30" customFormat="1" x14ac:dyDescent="0.25">
      <c r="A123"/>
      <c r="B123" s="18" t="s">
        <v>180</v>
      </c>
      <c r="C123" s="118"/>
      <c r="D123" s="118"/>
      <c r="E123" s="118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s="30" customFormat="1" x14ac:dyDescent="0.25">
      <c r="A124"/>
      <c r="B124" s="18" t="s">
        <v>183</v>
      </c>
      <c r="C124" s="118"/>
      <c r="D124" s="118"/>
      <c r="E124" s="118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9" spans="6:6" x14ac:dyDescent="0.25">
      <c r="F129" s="128"/>
    </row>
    <row r="162" spans="1:53" s="30" customFormat="1" x14ac:dyDescent="0.25">
      <c r="A162"/>
      <c r="B162" s="15"/>
      <c r="C162" s="118"/>
      <c r="D162" s="118"/>
      <c r="E162" s="118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s="30" customFormat="1" x14ac:dyDescent="0.25">
      <c r="A163"/>
      <c r="B163" s="15"/>
      <c r="C163" s="118"/>
      <c r="D163" s="118"/>
      <c r="E163" s="118"/>
      <c r="F163" s="131"/>
      <c r="G163" s="131"/>
      <c r="H163" s="131"/>
      <c r="I163" s="15"/>
      <c r="J163" s="15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s="30" customFormat="1" x14ac:dyDescent="0.25">
      <c r="A164"/>
      <c r="B164" s="15"/>
      <c r="C164" s="118"/>
      <c r="D164" s="118"/>
      <c r="E164" s="118"/>
      <c r="F164" s="131"/>
      <c r="G164" s="131"/>
      <c r="H164" s="131"/>
      <c r="I164" s="15"/>
      <c r="J164" s="15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s="30" customFormat="1" x14ac:dyDescent="0.25">
      <c r="A165"/>
      <c r="B165" s="15"/>
      <c r="C165" s="118"/>
      <c r="D165" s="118"/>
      <c r="E165" s="118"/>
      <c r="F165" s="131"/>
      <c r="G165" s="216"/>
      <c r="H165" s="131"/>
      <c r="I165" s="15"/>
      <c r="J165" s="43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s="30" customFormat="1" x14ac:dyDescent="0.25">
      <c r="A166"/>
      <c r="B166" s="15"/>
      <c r="C166" s="118"/>
      <c r="D166" s="118"/>
      <c r="E166" s="118"/>
      <c r="F166" s="131"/>
      <c r="G166" s="131"/>
      <c r="H166" s="131"/>
      <c r="I166" s="18"/>
      <c r="J166" s="15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s="30" customFormat="1" x14ac:dyDescent="0.25">
      <c r="A167"/>
      <c r="B167" s="15"/>
      <c r="C167" s="118"/>
      <c r="D167" s="118"/>
      <c r="E167" s="118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s="30" customFormat="1" x14ac:dyDescent="0.25">
      <c r="A168"/>
      <c r="B168" s="15"/>
      <c r="C168" s="118"/>
      <c r="D168" s="118"/>
      <c r="E168" s="118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s="30" customFormat="1" x14ac:dyDescent="0.25">
      <c r="A169"/>
      <c r="B169" s="15"/>
      <c r="C169" s="118"/>
      <c r="D169" s="118"/>
      <c r="E169" s="118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s="30" customFormat="1" x14ac:dyDescent="0.25">
      <c r="A170"/>
      <c r="B170" s="15"/>
      <c r="C170" s="118"/>
      <c r="D170" s="118"/>
      <c r="E170" s="118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s="30" customFormat="1" x14ac:dyDescent="0.25">
      <c r="A171"/>
      <c r="B171" s="15"/>
      <c r="C171" s="118"/>
      <c r="D171" s="118"/>
      <c r="E171" s="118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s="30" customFormat="1" x14ac:dyDescent="0.25">
      <c r="A172"/>
      <c r="B172" s="15"/>
      <c r="C172" s="118"/>
      <c r="D172" s="118"/>
      <c r="E172" s="118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s="30" customFormat="1" x14ac:dyDescent="0.25">
      <c r="A173"/>
      <c r="B173" s="15"/>
      <c r="C173" s="118"/>
      <c r="D173" s="118"/>
      <c r="E173" s="118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B174" s="15"/>
      <c r="C174" s="15"/>
      <c r="D174" s="15"/>
      <c r="E174" s="15"/>
      <c r="F174" s="15"/>
      <c r="G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53" x14ac:dyDescent="0.25">
      <c r="B175" s="15"/>
      <c r="C175" s="15"/>
      <c r="D175" s="15"/>
      <c r="E175" s="15"/>
      <c r="F175" s="15"/>
      <c r="G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</row>
  </sheetData>
  <mergeCells count="14">
    <mergeCell ref="J11:L11"/>
    <mergeCell ref="C11:E11"/>
    <mergeCell ref="B26:E26"/>
    <mergeCell ref="F26:I26"/>
    <mergeCell ref="B27:B28"/>
    <mergeCell ref="B12:B13"/>
    <mergeCell ref="B21:D21"/>
    <mergeCell ref="B36:D36"/>
    <mergeCell ref="F11:H11"/>
    <mergeCell ref="B42:B43"/>
    <mergeCell ref="B59:C59"/>
    <mergeCell ref="B65:C65"/>
    <mergeCell ref="B41:E41"/>
    <mergeCell ref="F41:I41"/>
  </mergeCells>
  <dataValidations disablePrompts="1" count="1">
    <dataValidation type="list" allowBlank="1" showInputMessage="1" showErrorMessage="1" sqref="C60" xr:uid="{00000000-0002-0000-0400-000000000000}">
      <formula1>"Match capital spending,Distribute evenly"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Q82"/>
  <sheetViews>
    <sheetView topLeftCell="A34" zoomScaleNormal="100" workbookViewId="0">
      <selection activeCell="E78" sqref="E78:E79"/>
    </sheetView>
  </sheetViews>
  <sheetFormatPr defaultColWidth="22.28515625" defaultRowHeight="15" x14ac:dyDescent="0.25"/>
  <cols>
    <col min="6" max="6" width="24.85546875" bestFit="1" customWidth="1"/>
  </cols>
  <sheetData>
    <row r="2" spans="2:17" x14ac:dyDescent="0.25">
      <c r="B2" s="62" t="s">
        <v>136</v>
      </c>
    </row>
    <row r="3" spans="2:17" x14ac:dyDescent="0.25">
      <c r="B3" s="244" t="s">
        <v>253</v>
      </c>
    </row>
    <row r="4" spans="2:17" x14ac:dyDescent="0.25">
      <c r="B4" s="244" t="s">
        <v>252</v>
      </c>
    </row>
    <row r="5" spans="2:17" ht="15.75" thickBot="1" x14ac:dyDescent="0.3"/>
    <row r="6" spans="2:17" ht="18.75" thickBot="1" x14ac:dyDescent="0.4">
      <c r="C6" s="388" t="s">
        <v>249</v>
      </c>
      <c r="D6" s="389"/>
      <c r="E6" s="389"/>
      <c r="F6" s="388" t="s">
        <v>250</v>
      </c>
      <c r="G6" s="389"/>
      <c r="H6" s="389"/>
      <c r="I6" s="382" t="s">
        <v>251</v>
      </c>
      <c r="J6" s="383"/>
      <c r="K6" s="384"/>
    </row>
    <row r="7" spans="2:17" x14ac:dyDescent="0.25">
      <c r="B7" s="380" t="s">
        <v>0</v>
      </c>
      <c r="C7" s="385" t="s">
        <v>1</v>
      </c>
      <c r="D7" s="386"/>
      <c r="E7" s="386"/>
      <c r="F7" s="385" t="s">
        <v>1</v>
      </c>
      <c r="G7" s="386"/>
      <c r="H7" s="390"/>
      <c r="I7" s="385" t="s">
        <v>1</v>
      </c>
      <c r="J7" s="386"/>
      <c r="K7" s="387"/>
    </row>
    <row r="8" spans="2:17" x14ac:dyDescent="0.25">
      <c r="B8" s="381"/>
      <c r="C8" s="10">
        <v>0.05</v>
      </c>
      <c r="D8" s="6">
        <v>0.03</v>
      </c>
      <c r="E8" s="7">
        <v>2.5000000000000001E-2</v>
      </c>
      <c r="F8" s="10">
        <v>0.05</v>
      </c>
      <c r="G8" s="6">
        <v>0.03</v>
      </c>
      <c r="H8" s="192">
        <v>2.5000000000000001E-2</v>
      </c>
      <c r="I8" s="10">
        <v>0.05</v>
      </c>
      <c r="J8" s="6">
        <v>0.03</v>
      </c>
      <c r="K8" s="198">
        <v>2.5000000000000001E-2</v>
      </c>
      <c r="M8" s="13"/>
      <c r="N8" s="14"/>
      <c r="O8" s="13"/>
      <c r="P8" s="13"/>
      <c r="Q8" s="15"/>
    </row>
    <row r="9" spans="2:17" x14ac:dyDescent="0.25">
      <c r="B9" s="170">
        <v>2017</v>
      </c>
      <c r="C9" s="190">
        <v>11</v>
      </c>
      <c r="D9" s="191">
        <v>39</v>
      </c>
      <c r="E9" s="191">
        <v>59</v>
      </c>
      <c r="F9" s="190">
        <v>490</v>
      </c>
      <c r="G9" s="191">
        <v>1100</v>
      </c>
      <c r="H9" s="193">
        <v>1500</v>
      </c>
      <c r="I9" s="190">
        <v>4300</v>
      </c>
      <c r="J9" s="191">
        <v>14000</v>
      </c>
      <c r="K9" s="199">
        <v>21000</v>
      </c>
      <c r="M9" s="13"/>
      <c r="N9" s="14"/>
      <c r="O9" s="13"/>
      <c r="P9" s="13"/>
      <c r="Q9" s="15"/>
    </row>
    <row r="10" spans="2:17" x14ac:dyDescent="0.25">
      <c r="B10" s="8">
        <v>2018</v>
      </c>
      <c r="C10" s="16">
        <v>12</v>
      </c>
      <c r="D10" s="17">
        <v>40</v>
      </c>
      <c r="E10" s="17">
        <v>60</v>
      </c>
      <c r="F10" s="16">
        <v>510</v>
      </c>
      <c r="G10" s="17">
        <v>1100</v>
      </c>
      <c r="H10" s="194">
        <v>1500</v>
      </c>
      <c r="I10" s="16">
        <v>4400</v>
      </c>
      <c r="J10" s="17">
        <v>14000</v>
      </c>
      <c r="K10" s="200">
        <v>21000</v>
      </c>
      <c r="M10" s="13"/>
      <c r="N10" s="14"/>
      <c r="O10" s="13"/>
      <c r="P10" s="13"/>
      <c r="Q10" s="15"/>
    </row>
    <row r="11" spans="2:17" x14ac:dyDescent="0.25">
      <c r="B11" s="170">
        <v>2019</v>
      </c>
      <c r="C11" s="190">
        <v>12</v>
      </c>
      <c r="D11" s="191">
        <v>41</v>
      </c>
      <c r="E11" s="191">
        <v>61</v>
      </c>
      <c r="F11" s="190">
        <v>520</v>
      </c>
      <c r="G11" s="191">
        <v>1200</v>
      </c>
      <c r="H11" s="193">
        <v>1500</v>
      </c>
      <c r="I11" s="190">
        <v>4600</v>
      </c>
      <c r="J11" s="191">
        <v>15000</v>
      </c>
      <c r="K11" s="199">
        <v>22000</v>
      </c>
      <c r="M11" s="13"/>
      <c r="N11" s="14"/>
      <c r="O11" s="13"/>
      <c r="P11" s="13"/>
      <c r="Q11" s="15"/>
    </row>
    <row r="12" spans="2:17" x14ac:dyDescent="0.25">
      <c r="B12" s="8">
        <v>2020</v>
      </c>
      <c r="C12" s="11">
        <v>12</v>
      </c>
      <c r="D12" s="2">
        <v>42</v>
      </c>
      <c r="E12" s="2">
        <v>62</v>
      </c>
      <c r="F12" s="11">
        <v>540</v>
      </c>
      <c r="G12" s="2">
        <v>1200</v>
      </c>
      <c r="H12" s="195">
        <v>1600</v>
      </c>
      <c r="I12" s="11">
        <v>4700</v>
      </c>
      <c r="J12" s="2">
        <v>15000</v>
      </c>
      <c r="K12" s="201">
        <v>22000</v>
      </c>
      <c r="M12" s="13"/>
      <c r="N12" s="14"/>
      <c r="O12" s="13"/>
      <c r="P12" s="13"/>
      <c r="Q12" s="15"/>
    </row>
    <row r="13" spans="2:17" x14ac:dyDescent="0.25">
      <c r="B13" s="9">
        <v>2021</v>
      </c>
      <c r="C13" s="12">
        <v>12</v>
      </c>
      <c r="D13" s="1">
        <v>42</v>
      </c>
      <c r="E13" s="1">
        <v>63</v>
      </c>
      <c r="F13" s="12">
        <v>560</v>
      </c>
      <c r="G13" s="1">
        <v>1200</v>
      </c>
      <c r="H13" s="168">
        <v>1600</v>
      </c>
      <c r="I13" s="12">
        <v>4900</v>
      </c>
      <c r="J13" s="167">
        <v>15000</v>
      </c>
      <c r="K13" s="202">
        <v>23000</v>
      </c>
      <c r="M13" s="13"/>
      <c r="N13" s="14"/>
      <c r="O13" s="13"/>
      <c r="P13" s="13"/>
      <c r="Q13" s="15"/>
    </row>
    <row r="14" spans="2:17" x14ac:dyDescent="0.25">
      <c r="B14" s="8">
        <v>2022</v>
      </c>
      <c r="C14" s="11">
        <v>13</v>
      </c>
      <c r="D14" s="2">
        <v>43</v>
      </c>
      <c r="E14" s="2">
        <v>64</v>
      </c>
      <c r="F14" s="11">
        <v>590</v>
      </c>
      <c r="G14" s="2">
        <v>1300</v>
      </c>
      <c r="H14" s="195">
        <v>1700</v>
      </c>
      <c r="I14" s="11">
        <v>5000</v>
      </c>
      <c r="J14" s="2">
        <v>16000</v>
      </c>
      <c r="K14" s="201">
        <v>23000</v>
      </c>
      <c r="M14" s="13"/>
      <c r="N14" s="14"/>
      <c r="O14" s="13"/>
      <c r="P14" s="13"/>
      <c r="Q14" s="15"/>
    </row>
    <row r="15" spans="2:17" x14ac:dyDescent="0.25">
      <c r="B15" s="9">
        <v>2023</v>
      </c>
      <c r="C15" s="12">
        <v>13</v>
      </c>
      <c r="D15" s="1">
        <v>44</v>
      </c>
      <c r="E15" s="1">
        <v>65</v>
      </c>
      <c r="F15" s="12">
        <v>610</v>
      </c>
      <c r="G15" s="1">
        <v>1300</v>
      </c>
      <c r="H15" s="168">
        <v>1700</v>
      </c>
      <c r="I15" s="12">
        <v>5200</v>
      </c>
      <c r="J15" s="167">
        <v>16000</v>
      </c>
      <c r="K15" s="202">
        <v>23000</v>
      </c>
      <c r="M15" s="13"/>
      <c r="N15" s="14"/>
      <c r="O15" s="13"/>
      <c r="P15" s="13"/>
      <c r="Q15" s="15"/>
    </row>
    <row r="16" spans="2:17" x14ac:dyDescent="0.25">
      <c r="B16" s="8">
        <v>2024</v>
      </c>
      <c r="C16" s="11">
        <v>13</v>
      </c>
      <c r="D16" s="2">
        <v>45</v>
      </c>
      <c r="E16" s="2">
        <v>66</v>
      </c>
      <c r="F16" s="11">
        <v>630</v>
      </c>
      <c r="G16" s="2">
        <v>1400</v>
      </c>
      <c r="H16" s="195">
        <v>1800</v>
      </c>
      <c r="I16" s="11">
        <v>5400</v>
      </c>
      <c r="J16" s="2">
        <v>16000</v>
      </c>
      <c r="K16" s="201">
        <v>24000</v>
      </c>
      <c r="M16" s="13"/>
      <c r="N16" s="14"/>
      <c r="O16" s="13"/>
      <c r="P16" s="13"/>
      <c r="Q16" s="15"/>
    </row>
    <row r="17" spans="2:17" x14ac:dyDescent="0.25">
      <c r="B17" s="9">
        <v>2025</v>
      </c>
      <c r="C17" s="12">
        <v>14</v>
      </c>
      <c r="D17" s="1">
        <v>46</v>
      </c>
      <c r="E17" s="1">
        <v>68</v>
      </c>
      <c r="F17" s="12">
        <v>650</v>
      </c>
      <c r="G17" s="1">
        <v>1400</v>
      </c>
      <c r="H17" s="168">
        <v>1800</v>
      </c>
      <c r="I17" s="12">
        <v>5500</v>
      </c>
      <c r="J17" s="167">
        <v>17000</v>
      </c>
      <c r="K17" s="202">
        <v>24000</v>
      </c>
      <c r="M17" s="13"/>
      <c r="N17" s="14"/>
      <c r="O17" s="13"/>
      <c r="P17" s="13"/>
      <c r="Q17" s="15"/>
    </row>
    <row r="18" spans="2:17" x14ac:dyDescent="0.25">
      <c r="B18" s="8">
        <v>2026</v>
      </c>
      <c r="C18" s="11">
        <v>14</v>
      </c>
      <c r="D18" s="2">
        <v>47</v>
      </c>
      <c r="E18" s="2">
        <v>69</v>
      </c>
      <c r="F18" s="11">
        <v>670</v>
      </c>
      <c r="G18" s="2">
        <v>1400</v>
      </c>
      <c r="H18" s="195">
        <v>1900</v>
      </c>
      <c r="I18" s="11">
        <v>5700</v>
      </c>
      <c r="J18" s="2">
        <v>17000</v>
      </c>
      <c r="K18" s="201">
        <v>25000</v>
      </c>
      <c r="M18" s="13"/>
      <c r="N18" s="14"/>
      <c r="O18" s="13"/>
      <c r="P18" s="13"/>
      <c r="Q18" s="15"/>
    </row>
    <row r="19" spans="2:17" ht="15" customHeight="1" x14ac:dyDescent="0.25">
      <c r="B19" s="9">
        <v>2027</v>
      </c>
      <c r="C19" s="12">
        <v>15</v>
      </c>
      <c r="D19" s="1">
        <v>48</v>
      </c>
      <c r="E19" s="1">
        <v>70</v>
      </c>
      <c r="F19" s="12">
        <v>700</v>
      </c>
      <c r="G19" s="1">
        <v>1500</v>
      </c>
      <c r="H19" s="168">
        <v>1900</v>
      </c>
      <c r="I19" s="12">
        <v>5900</v>
      </c>
      <c r="J19" s="167">
        <v>17000</v>
      </c>
      <c r="K19" s="202">
        <v>25000</v>
      </c>
      <c r="L19" s="4"/>
      <c r="M19" s="13"/>
      <c r="N19" s="14"/>
      <c r="O19" s="13"/>
      <c r="P19" s="13"/>
      <c r="Q19" s="15"/>
    </row>
    <row r="20" spans="2:17" ht="15" customHeight="1" x14ac:dyDescent="0.25">
      <c r="B20" s="8">
        <v>2028</v>
      </c>
      <c r="C20" s="11">
        <v>15</v>
      </c>
      <c r="D20" s="2">
        <v>49</v>
      </c>
      <c r="E20" s="2">
        <v>71</v>
      </c>
      <c r="F20" s="11">
        <v>720</v>
      </c>
      <c r="G20" s="2">
        <v>1500</v>
      </c>
      <c r="H20" s="195">
        <v>2000</v>
      </c>
      <c r="I20" s="11">
        <v>6000</v>
      </c>
      <c r="J20" s="2">
        <v>18000</v>
      </c>
      <c r="K20" s="201">
        <v>26000</v>
      </c>
      <c r="L20" s="4"/>
      <c r="M20" s="13"/>
      <c r="N20" s="14"/>
      <c r="O20" s="13"/>
      <c r="P20" s="13"/>
      <c r="Q20" s="15"/>
    </row>
    <row r="21" spans="2:17" ht="15" customHeight="1" x14ac:dyDescent="0.25">
      <c r="B21" s="9">
        <v>2029</v>
      </c>
      <c r="C21" s="12">
        <v>15</v>
      </c>
      <c r="D21" s="1">
        <v>49</v>
      </c>
      <c r="E21" s="1">
        <v>72</v>
      </c>
      <c r="F21" s="12">
        <v>740</v>
      </c>
      <c r="G21" s="1">
        <v>1600</v>
      </c>
      <c r="H21" s="168">
        <v>2000</v>
      </c>
      <c r="I21" s="12">
        <v>6200</v>
      </c>
      <c r="J21" s="167">
        <v>18000</v>
      </c>
      <c r="K21" s="202">
        <v>26000</v>
      </c>
      <c r="L21" s="4"/>
      <c r="M21" s="13"/>
      <c r="N21" s="14"/>
      <c r="O21" s="13"/>
      <c r="P21" s="13"/>
      <c r="Q21" s="15"/>
    </row>
    <row r="22" spans="2:17" ht="15" customHeight="1" x14ac:dyDescent="0.25">
      <c r="B22" s="8">
        <v>2030</v>
      </c>
      <c r="C22" s="11">
        <v>16</v>
      </c>
      <c r="D22" s="2">
        <v>50</v>
      </c>
      <c r="E22" s="2">
        <v>73</v>
      </c>
      <c r="F22" s="11">
        <v>760</v>
      </c>
      <c r="G22" s="2">
        <v>1600</v>
      </c>
      <c r="H22" s="195">
        <v>2000</v>
      </c>
      <c r="I22" s="11">
        <v>6300</v>
      </c>
      <c r="J22" s="2">
        <v>19000</v>
      </c>
      <c r="K22" s="201">
        <v>27000</v>
      </c>
      <c r="L22" s="4"/>
      <c r="M22" s="13"/>
      <c r="N22" s="14"/>
      <c r="O22" s="13"/>
      <c r="P22" s="13"/>
      <c r="Q22" s="15"/>
    </row>
    <row r="23" spans="2:17" ht="15" customHeight="1" x14ac:dyDescent="0.25">
      <c r="B23" s="9">
        <v>2031</v>
      </c>
      <c r="C23" s="12">
        <v>16</v>
      </c>
      <c r="D23" s="1">
        <v>51</v>
      </c>
      <c r="E23" s="1">
        <v>74</v>
      </c>
      <c r="F23" s="12">
        <v>790</v>
      </c>
      <c r="G23" s="1">
        <v>1600</v>
      </c>
      <c r="H23" s="168">
        <v>2100</v>
      </c>
      <c r="I23" s="12">
        <v>6500</v>
      </c>
      <c r="J23" s="167">
        <v>19000</v>
      </c>
      <c r="K23" s="202">
        <v>27000</v>
      </c>
      <c r="L23" s="4"/>
      <c r="M23" s="13"/>
      <c r="N23" s="14"/>
      <c r="O23" s="13"/>
      <c r="P23" s="13"/>
      <c r="Q23" s="15"/>
    </row>
    <row r="24" spans="2:17" ht="15" customHeight="1" x14ac:dyDescent="0.25">
      <c r="B24" s="8">
        <v>2032</v>
      </c>
      <c r="C24" s="11">
        <v>17</v>
      </c>
      <c r="D24" s="2">
        <v>52</v>
      </c>
      <c r="E24" s="2">
        <v>75</v>
      </c>
      <c r="F24" s="11">
        <v>820</v>
      </c>
      <c r="G24" s="2">
        <v>1700</v>
      </c>
      <c r="H24" s="195">
        <v>2100</v>
      </c>
      <c r="I24" s="11">
        <v>6800</v>
      </c>
      <c r="J24" s="2">
        <v>19000</v>
      </c>
      <c r="K24" s="201">
        <v>28000</v>
      </c>
      <c r="L24" s="4"/>
      <c r="M24" s="13"/>
      <c r="N24" s="14"/>
      <c r="O24" s="13"/>
      <c r="P24" s="13"/>
      <c r="Q24" s="15"/>
    </row>
    <row r="25" spans="2:17" ht="15" customHeight="1" x14ac:dyDescent="0.25">
      <c r="B25" s="9">
        <v>2033</v>
      </c>
      <c r="C25" s="12">
        <v>17</v>
      </c>
      <c r="D25" s="1">
        <v>53</v>
      </c>
      <c r="E25" s="1">
        <v>76</v>
      </c>
      <c r="F25" s="12">
        <v>850</v>
      </c>
      <c r="G25" s="1">
        <v>1700</v>
      </c>
      <c r="H25" s="168">
        <v>2200</v>
      </c>
      <c r="I25" s="12">
        <v>7000</v>
      </c>
      <c r="J25" s="167">
        <v>20000</v>
      </c>
      <c r="K25" s="202">
        <v>28000</v>
      </c>
      <c r="L25" s="4"/>
      <c r="M25" s="13"/>
      <c r="N25" s="14"/>
      <c r="O25" s="13"/>
      <c r="P25" s="13"/>
      <c r="Q25" s="15"/>
    </row>
    <row r="26" spans="2:17" ht="15" customHeight="1" x14ac:dyDescent="0.25">
      <c r="B26" s="8">
        <v>2034</v>
      </c>
      <c r="C26" s="11">
        <v>18</v>
      </c>
      <c r="D26" s="2">
        <v>54</v>
      </c>
      <c r="E26" s="2">
        <v>77</v>
      </c>
      <c r="F26" s="11">
        <v>880</v>
      </c>
      <c r="G26" s="2">
        <v>1800</v>
      </c>
      <c r="H26" s="195">
        <v>2200</v>
      </c>
      <c r="I26" s="11">
        <v>7200</v>
      </c>
      <c r="J26" s="2">
        <v>20000</v>
      </c>
      <c r="K26" s="201">
        <v>29000</v>
      </c>
      <c r="L26" s="4"/>
      <c r="M26" s="13"/>
      <c r="N26" s="14"/>
      <c r="O26" s="13"/>
      <c r="P26" s="13"/>
      <c r="Q26" s="15"/>
    </row>
    <row r="27" spans="2:17" ht="15" customHeight="1" x14ac:dyDescent="0.25">
      <c r="B27" s="9">
        <v>2035</v>
      </c>
      <c r="C27" s="12">
        <v>18</v>
      </c>
      <c r="D27" s="1">
        <v>55</v>
      </c>
      <c r="E27" s="1">
        <v>78</v>
      </c>
      <c r="F27" s="12">
        <v>900</v>
      </c>
      <c r="G27" s="1">
        <v>1800</v>
      </c>
      <c r="H27" s="168">
        <v>2300</v>
      </c>
      <c r="I27" s="12">
        <v>7400</v>
      </c>
      <c r="J27" s="167">
        <v>21000</v>
      </c>
      <c r="K27" s="202">
        <v>29000</v>
      </c>
      <c r="L27" s="4"/>
      <c r="M27" s="13"/>
      <c r="N27" s="14"/>
      <c r="O27" s="13"/>
      <c r="P27" s="13"/>
      <c r="Q27" s="15"/>
    </row>
    <row r="28" spans="2:17" ht="15" customHeight="1" x14ac:dyDescent="0.25">
      <c r="B28" s="8">
        <v>2036</v>
      </c>
      <c r="C28" s="11">
        <v>19</v>
      </c>
      <c r="D28" s="2">
        <v>56</v>
      </c>
      <c r="E28" s="2">
        <v>79</v>
      </c>
      <c r="F28" s="11">
        <v>930</v>
      </c>
      <c r="G28" s="2">
        <v>1900</v>
      </c>
      <c r="H28" s="195">
        <v>2400</v>
      </c>
      <c r="I28" s="11">
        <v>7600</v>
      </c>
      <c r="J28" s="2">
        <v>21000</v>
      </c>
      <c r="K28" s="201">
        <v>30000</v>
      </c>
      <c r="L28" s="4"/>
      <c r="M28" s="13"/>
      <c r="N28" s="14"/>
      <c r="O28" s="13"/>
      <c r="P28" s="13"/>
      <c r="Q28" s="15"/>
    </row>
    <row r="29" spans="2:17" ht="15" customHeight="1" x14ac:dyDescent="0.25">
      <c r="B29" s="9">
        <v>2037</v>
      </c>
      <c r="C29" s="12">
        <v>19</v>
      </c>
      <c r="D29" s="1">
        <v>57</v>
      </c>
      <c r="E29" s="1">
        <v>81</v>
      </c>
      <c r="F29" s="12">
        <v>960</v>
      </c>
      <c r="G29" s="1">
        <v>1900</v>
      </c>
      <c r="H29" s="168">
        <v>2400</v>
      </c>
      <c r="I29" s="12">
        <v>7800</v>
      </c>
      <c r="J29" s="167">
        <v>21000</v>
      </c>
      <c r="K29" s="202">
        <v>30000</v>
      </c>
      <c r="L29" s="4"/>
      <c r="M29" s="13"/>
      <c r="N29" s="14"/>
      <c r="O29" s="13"/>
      <c r="P29" s="13"/>
      <c r="Q29" s="15"/>
    </row>
    <row r="30" spans="2:17" ht="15" customHeight="1" x14ac:dyDescent="0.25">
      <c r="B30" s="8">
        <v>2038</v>
      </c>
      <c r="C30" s="11">
        <v>20</v>
      </c>
      <c r="D30" s="2">
        <v>58</v>
      </c>
      <c r="E30" s="2">
        <v>82</v>
      </c>
      <c r="F30" s="11">
        <v>990</v>
      </c>
      <c r="G30" s="2">
        <v>2000</v>
      </c>
      <c r="H30" s="195">
        <v>2500</v>
      </c>
      <c r="I30" s="11">
        <v>8000</v>
      </c>
      <c r="J30" s="2">
        <v>22000</v>
      </c>
      <c r="K30" s="201">
        <v>31000</v>
      </c>
      <c r="L30" s="4"/>
      <c r="M30" s="13"/>
      <c r="N30" s="14"/>
      <c r="O30" s="13"/>
      <c r="P30" s="13"/>
      <c r="Q30" s="15"/>
    </row>
    <row r="31" spans="2:17" ht="15" customHeight="1" x14ac:dyDescent="0.25">
      <c r="B31" s="9">
        <v>2039</v>
      </c>
      <c r="C31" s="12">
        <v>20</v>
      </c>
      <c r="D31" s="1">
        <v>59</v>
      </c>
      <c r="E31" s="1">
        <v>83</v>
      </c>
      <c r="F31" s="12">
        <v>1000</v>
      </c>
      <c r="G31" s="1">
        <v>2000</v>
      </c>
      <c r="H31" s="168">
        <v>2500</v>
      </c>
      <c r="I31" s="12">
        <v>8200</v>
      </c>
      <c r="J31" s="167">
        <v>22000</v>
      </c>
      <c r="K31" s="202">
        <v>31000</v>
      </c>
      <c r="L31" s="4"/>
      <c r="M31" s="13"/>
      <c r="N31" s="14"/>
      <c r="O31" s="13"/>
      <c r="P31" s="13"/>
      <c r="Q31" s="15"/>
    </row>
    <row r="32" spans="2:17" ht="15" customHeight="1" x14ac:dyDescent="0.25">
      <c r="B32" s="8">
        <v>2040</v>
      </c>
      <c r="C32" s="11">
        <v>21</v>
      </c>
      <c r="D32" s="2">
        <v>60</v>
      </c>
      <c r="E32" s="2">
        <v>84</v>
      </c>
      <c r="F32" s="11">
        <v>1000</v>
      </c>
      <c r="G32" s="2">
        <v>2000</v>
      </c>
      <c r="H32" s="195">
        <v>2600</v>
      </c>
      <c r="I32" s="11">
        <v>8400</v>
      </c>
      <c r="J32" s="2">
        <v>23000</v>
      </c>
      <c r="K32" s="201">
        <v>32000</v>
      </c>
      <c r="L32" s="4"/>
      <c r="M32" s="13"/>
      <c r="N32" s="14"/>
      <c r="O32" s="13"/>
      <c r="P32" s="13"/>
      <c r="Q32" s="15"/>
    </row>
    <row r="33" spans="2:17" ht="15" customHeight="1" x14ac:dyDescent="0.25">
      <c r="B33" s="9">
        <v>2041</v>
      </c>
      <c r="C33" s="12">
        <v>21</v>
      </c>
      <c r="D33" s="1">
        <v>61</v>
      </c>
      <c r="E33" s="1">
        <v>85</v>
      </c>
      <c r="F33" s="12">
        <v>1100</v>
      </c>
      <c r="G33" s="1">
        <v>2100</v>
      </c>
      <c r="H33" s="168">
        <v>2600</v>
      </c>
      <c r="I33" s="12">
        <v>8600</v>
      </c>
      <c r="J33" s="167">
        <v>23000</v>
      </c>
      <c r="K33" s="202">
        <v>32000</v>
      </c>
      <c r="L33" s="4"/>
      <c r="M33" s="13"/>
      <c r="N33" s="14"/>
      <c r="O33" s="13"/>
      <c r="P33" s="13"/>
      <c r="Q33" s="15"/>
    </row>
    <row r="34" spans="2:17" ht="15" customHeight="1" x14ac:dyDescent="0.25">
      <c r="B34" s="8">
        <v>2042</v>
      </c>
      <c r="C34" s="11">
        <v>22</v>
      </c>
      <c r="D34" s="2">
        <v>61</v>
      </c>
      <c r="E34" s="2">
        <v>86</v>
      </c>
      <c r="F34" s="11">
        <v>1100</v>
      </c>
      <c r="G34" s="2">
        <v>2100</v>
      </c>
      <c r="H34" s="195">
        <v>2700</v>
      </c>
      <c r="I34" s="11">
        <v>8800</v>
      </c>
      <c r="J34" s="2">
        <v>23000</v>
      </c>
      <c r="K34" s="201">
        <v>33000</v>
      </c>
      <c r="L34" s="4"/>
      <c r="M34" s="13"/>
      <c r="N34" s="14"/>
      <c r="O34" s="13"/>
      <c r="P34" s="13"/>
      <c r="Q34" s="15"/>
    </row>
    <row r="35" spans="2:17" ht="15" customHeight="1" x14ac:dyDescent="0.25">
      <c r="B35" s="9">
        <v>2043</v>
      </c>
      <c r="C35" s="12">
        <v>22</v>
      </c>
      <c r="D35" s="1">
        <v>62</v>
      </c>
      <c r="E35" s="1">
        <v>87</v>
      </c>
      <c r="F35" s="12">
        <v>1100</v>
      </c>
      <c r="G35" s="1">
        <v>2200</v>
      </c>
      <c r="H35" s="168">
        <v>2700</v>
      </c>
      <c r="I35" s="12">
        <v>9100</v>
      </c>
      <c r="J35" s="167">
        <v>24000</v>
      </c>
      <c r="K35" s="202">
        <v>33000</v>
      </c>
      <c r="L35" s="4"/>
      <c r="M35" s="13"/>
      <c r="N35" s="14"/>
      <c r="O35" s="13"/>
      <c r="P35" s="13"/>
      <c r="Q35" s="15"/>
    </row>
    <row r="36" spans="2:17" ht="15" customHeight="1" x14ac:dyDescent="0.25">
      <c r="B36" s="8">
        <v>2044</v>
      </c>
      <c r="C36" s="11">
        <v>23</v>
      </c>
      <c r="D36" s="2">
        <v>63</v>
      </c>
      <c r="E36" s="2">
        <v>88</v>
      </c>
      <c r="F36" s="11">
        <v>1200</v>
      </c>
      <c r="G36" s="2">
        <v>2200</v>
      </c>
      <c r="H36" s="195">
        <v>2800</v>
      </c>
      <c r="I36" s="11">
        <v>9300</v>
      </c>
      <c r="J36" s="2">
        <v>24000</v>
      </c>
      <c r="K36" s="201">
        <v>34000</v>
      </c>
      <c r="L36" s="4"/>
      <c r="M36" s="13"/>
      <c r="N36" s="14"/>
      <c r="O36" s="13"/>
      <c r="P36" s="13"/>
      <c r="Q36" s="15"/>
    </row>
    <row r="37" spans="2:17" ht="15" customHeight="1" x14ac:dyDescent="0.25">
      <c r="B37" s="9">
        <v>2045</v>
      </c>
      <c r="C37" s="12">
        <v>23</v>
      </c>
      <c r="D37" s="1">
        <v>64</v>
      </c>
      <c r="E37" s="1">
        <v>89</v>
      </c>
      <c r="F37" s="12">
        <v>1200</v>
      </c>
      <c r="G37" s="1">
        <v>2300</v>
      </c>
      <c r="H37" s="168">
        <v>2800</v>
      </c>
      <c r="I37" s="12">
        <v>9500</v>
      </c>
      <c r="J37" s="167">
        <v>25000</v>
      </c>
      <c r="K37" s="202">
        <v>34000</v>
      </c>
      <c r="L37" s="4"/>
      <c r="M37" s="13"/>
      <c r="N37" s="14"/>
      <c r="O37" s="13"/>
      <c r="P37" s="13"/>
      <c r="Q37" s="15"/>
    </row>
    <row r="38" spans="2:17" ht="15" customHeight="1" x14ac:dyDescent="0.25">
      <c r="B38" s="8">
        <v>2046</v>
      </c>
      <c r="C38" s="11">
        <v>24</v>
      </c>
      <c r="D38" s="2">
        <v>65</v>
      </c>
      <c r="E38" s="2">
        <v>90</v>
      </c>
      <c r="F38" s="11">
        <v>1200</v>
      </c>
      <c r="G38" s="2">
        <v>2300</v>
      </c>
      <c r="H38" s="195">
        <v>2900</v>
      </c>
      <c r="I38" s="11">
        <v>9800</v>
      </c>
      <c r="J38" s="2">
        <v>25000</v>
      </c>
      <c r="K38" s="201">
        <v>35000</v>
      </c>
      <c r="L38" s="4"/>
      <c r="M38" s="13"/>
      <c r="N38" s="14"/>
      <c r="O38" s="13"/>
      <c r="P38" s="13"/>
      <c r="Q38" s="15"/>
    </row>
    <row r="39" spans="2:17" ht="15" customHeight="1" x14ac:dyDescent="0.25">
      <c r="B39" s="9">
        <v>2047</v>
      </c>
      <c r="C39" s="12">
        <v>24</v>
      </c>
      <c r="D39" s="1">
        <v>66</v>
      </c>
      <c r="E39" s="1">
        <v>92</v>
      </c>
      <c r="F39" s="12">
        <v>1300</v>
      </c>
      <c r="G39" s="1">
        <v>2400</v>
      </c>
      <c r="H39" s="168">
        <v>2900</v>
      </c>
      <c r="I39" s="12">
        <v>10000</v>
      </c>
      <c r="J39" s="167">
        <v>26000</v>
      </c>
      <c r="K39" s="202">
        <v>35000</v>
      </c>
      <c r="L39" s="4"/>
      <c r="M39" s="13"/>
      <c r="N39" s="14"/>
      <c r="O39" s="13"/>
      <c r="P39" s="13"/>
      <c r="Q39" s="15"/>
    </row>
    <row r="40" spans="2:17" ht="15" customHeight="1" x14ac:dyDescent="0.25">
      <c r="B40" s="8">
        <v>2048</v>
      </c>
      <c r="C40" s="11">
        <v>25</v>
      </c>
      <c r="D40" s="2">
        <v>67</v>
      </c>
      <c r="E40" s="2">
        <v>93</v>
      </c>
      <c r="F40" s="11">
        <v>1300</v>
      </c>
      <c r="G40" s="2">
        <v>2400</v>
      </c>
      <c r="H40" s="195">
        <v>3000</v>
      </c>
      <c r="I40" s="11">
        <v>10000</v>
      </c>
      <c r="J40" s="2">
        <v>26000</v>
      </c>
      <c r="K40" s="201">
        <v>36000</v>
      </c>
      <c r="L40" s="4"/>
      <c r="M40" s="13"/>
      <c r="N40" s="14"/>
      <c r="O40" s="13"/>
      <c r="P40" s="13"/>
      <c r="Q40" s="15"/>
    </row>
    <row r="41" spans="2:17" ht="15" customHeight="1" x14ac:dyDescent="0.25">
      <c r="B41" s="33">
        <v>2049</v>
      </c>
      <c r="C41" s="34">
        <v>25</v>
      </c>
      <c r="D41" s="35">
        <v>68</v>
      </c>
      <c r="E41" s="35">
        <v>94</v>
      </c>
      <c r="F41" s="34">
        <v>1300</v>
      </c>
      <c r="G41" s="35">
        <v>2500</v>
      </c>
      <c r="H41" s="196">
        <v>3000</v>
      </c>
      <c r="I41" s="34">
        <v>10000</v>
      </c>
      <c r="J41" s="35">
        <v>26000</v>
      </c>
      <c r="K41" s="203">
        <v>36000</v>
      </c>
      <c r="L41" s="4"/>
      <c r="M41" s="13"/>
      <c r="N41" s="14"/>
      <c r="O41" s="13"/>
      <c r="P41" s="13"/>
      <c r="Q41" s="15"/>
    </row>
    <row r="42" spans="2:17" ht="18" customHeight="1" thickBot="1" x14ac:dyDescent="0.3">
      <c r="B42" s="36">
        <v>2050</v>
      </c>
      <c r="C42" s="37">
        <v>26</v>
      </c>
      <c r="D42" s="38">
        <v>69</v>
      </c>
      <c r="E42" s="38">
        <v>95</v>
      </c>
      <c r="F42" s="37">
        <v>1300</v>
      </c>
      <c r="G42" s="38">
        <v>2500</v>
      </c>
      <c r="H42" s="197">
        <v>3100</v>
      </c>
      <c r="I42" s="37">
        <v>11000</v>
      </c>
      <c r="J42" s="38">
        <v>27000</v>
      </c>
      <c r="K42" s="204">
        <v>37000</v>
      </c>
      <c r="L42" s="4"/>
      <c r="M42" s="13"/>
      <c r="N42" s="14"/>
      <c r="O42" s="13"/>
      <c r="P42" s="13"/>
      <c r="Q42" s="15"/>
    </row>
    <row r="43" spans="2:17" ht="18" customHeight="1" x14ac:dyDescent="0.25">
      <c r="B43" s="5"/>
      <c r="C43" s="19"/>
      <c r="D43" s="19"/>
      <c r="E43" s="19"/>
      <c r="F43" s="19"/>
      <c r="G43" s="19"/>
      <c r="H43" s="19"/>
      <c r="I43" s="19"/>
      <c r="J43" s="19"/>
      <c r="K43" s="19"/>
      <c r="L43" s="4"/>
      <c r="M43" s="13"/>
      <c r="N43" s="14"/>
      <c r="O43" s="13"/>
      <c r="P43" s="13"/>
      <c r="Q43" s="15"/>
    </row>
    <row r="44" spans="2:17" ht="21" x14ac:dyDescent="0.35">
      <c r="B44" s="20" t="s">
        <v>8</v>
      </c>
      <c r="F44" s="167" t="s">
        <v>156</v>
      </c>
      <c r="G44" s="46">
        <v>1.8499999999999999E-2</v>
      </c>
      <c r="H44" s="19"/>
      <c r="I44" s="19"/>
      <c r="J44" s="19"/>
      <c r="K44" s="19"/>
      <c r="L44" s="4"/>
      <c r="M44" s="13"/>
      <c r="N44" s="14"/>
      <c r="O44" s="13"/>
      <c r="P44" s="13"/>
      <c r="Q44" s="15"/>
    </row>
    <row r="45" spans="2:17" ht="15" customHeight="1" thickBot="1" x14ac:dyDescent="0.3">
      <c r="B45" s="5"/>
      <c r="C45" s="19"/>
      <c r="D45" s="19"/>
      <c r="E45" s="19"/>
      <c r="F45" s="19"/>
      <c r="G45" s="19"/>
      <c r="H45" s="19"/>
      <c r="I45" s="19"/>
      <c r="J45" s="19"/>
      <c r="K45" s="19"/>
      <c r="L45" s="4"/>
      <c r="M45" s="13"/>
      <c r="N45" s="14"/>
      <c r="O45" s="13"/>
      <c r="P45" s="13"/>
      <c r="Q45" s="15"/>
    </row>
    <row r="46" spans="2:17" ht="15" customHeight="1" thickBot="1" x14ac:dyDescent="0.4">
      <c r="C46" s="382" t="s">
        <v>2</v>
      </c>
      <c r="D46" s="383"/>
      <c r="E46" s="383"/>
      <c r="F46" s="382" t="s">
        <v>3</v>
      </c>
      <c r="G46" s="383"/>
      <c r="H46" s="383"/>
      <c r="I46" s="382" t="s">
        <v>4</v>
      </c>
      <c r="J46" s="383"/>
      <c r="K46" s="384"/>
      <c r="L46" s="4"/>
      <c r="M46" s="4"/>
      <c r="N46" s="3"/>
      <c r="O46" s="3"/>
      <c r="P46" s="3"/>
    </row>
    <row r="47" spans="2:17" ht="15" customHeight="1" x14ac:dyDescent="0.25">
      <c r="B47" s="380" t="s">
        <v>0</v>
      </c>
      <c r="C47" s="385" t="s">
        <v>1</v>
      </c>
      <c r="D47" s="386"/>
      <c r="E47" s="386"/>
      <c r="F47" s="385" t="s">
        <v>1</v>
      </c>
      <c r="G47" s="386"/>
      <c r="H47" s="386"/>
      <c r="I47" s="385" t="s">
        <v>1</v>
      </c>
      <c r="J47" s="386"/>
      <c r="K47" s="387"/>
      <c r="L47" s="4"/>
      <c r="M47" s="4"/>
      <c r="N47" s="3"/>
      <c r="O47" s="3"/>
      <c r="P47" s="3"/>
    </row>
    <row r="48" spans="2:17" ht="15" customHeight="1" x14ac:dyDescent="0.25">
      <c r="B48" s="381"/>
      <c r="C48" s="10">
        <v>0.05</v>
      </c>
      <c r="D48" s="6">
        <v>0.03</v>
      </c>
      <c r="E48" s="7">
        <v>2.5000000000000001E-2</v>
      </c>
      <c r="F48" s="10">
        <v>0.05</v>
      </c>
      <c r="G48" s="6">
        <v>0.03</v>
      </c>
      <c r="H48" s="7">
        <v>2.5000000000000001E-2</v>
      </c>
      <c r="I48" s="10">
        <v>0.05</v>
      </c>
      <c r="J48" s="6">
        <v>0.03</v>
      </c>
      <c r="K48" s="198">
        <v>2.5000000000000001E-2</v>
      </c>
      <c r="L48" s="4"/>
    </row>
    <row r="49" spans="2:12" ht="15" customHeight="1" x14ac:dyDescent="0.25">
      <c r="B49" s="9">
        <v>2017</v>
      </c>
      <c r="C49" s="190">
        <f>C9*(1+$G$44)^(2020-2007)</f>
        <v>13.960022508641217</v>
      </c>
      <c r="D49" s="191">
        <f t="shared" ref="D49:K49" si="0">D9*(1+$G$44)^(2020-2007)</f>
        <v>49.494625257909767</v>
      </c>
      <c r="E49" s="191">
        <f t="shared" si="0"/>
        <v>74.876484364530171</v>
      </c>
      <c r="F49" s="190">
        <f t="shared" si="0"/>
        <v>621.8555481121997</v>
      </c>
      <c r="G49" s="191">
        <f t="shared" si="0"/>
        <v>1396.0022508641216</v>
      </c>
      <c r="H49" s="193">
        <f t="shared" si="0"/>
        <v>1903.6394329965296</v>
      </c>
      <c r="I49" s="190">
        <f t="shared" si="0"/>
        <v>5457.0997079233848</v>
      </c>
      <c r="J49" s="191">
        <f t="shared" si="0"/>
        <v>17767.301374634277</v>
      </c>
      <c r="K49" s="199">
        <f t="shared" si="0"/>
        <v>26650.952061951415</v>
      </c>
      <c r="L49" s="4"/>
    </row>
    <row r="50" spans="2:12" ht="15" customHeight="1" x14ac:dyDescent="0.25">
      <c r="B50" s="8">
        <v>2018</v>
      </c>
      <c r="C50" s="16">
        <f t="shared" ref="C50:K82" si="1">C10*(1+$G$44)^(2020-2007)</f>
        <v>15.229115463972237</v>
      </c>
      <c r="D50" s="17">
        <f t="shared" si="1"/>
        <v>50.763718213240793</v>
      </c>
      <c r="E50" s="17">
        <f t="shared" si="1"/>
        <v>76.145577319861189</v>
      </c>
      <c r="F50" s="16">
        <f t="shared" si="1"/>
        <v>647.23740721882007</v>
      </c>
      <c r="G50" s="17">
        <f t="shared" si="1"/>
        <v>1396.0022508641216</v>
      </c>
      <c r="H50" s="194">
        <f t="shared" si="1"/>
        <v>1903.6394329965296</v>
      </c>
      <c r="I50" s="16">
        <f t="shared" si="1"/>
        <v>5584.0090034564864</v>
      </c>
      <c r="J50" s="17">
        <f t="shared" si="1"/>
        <v>17767.301374634277</v>
      </c>
      <c r="K50" s="200">
        <f t="shared" si="1"/>
        <v>26650.952061951415</v>
      </c>
      <c r="L50" s="4"/>
    </row>
    <row r="51" spans="2:12" ht="15" customHeight="1" x14ac:dyDescent="0.25">
      <c r="B51" s="9">
        <v>2019</v>
      </c>
      <c r="C51" s="190">
        <f t="shared" si="1"/>
        <v>15.229115463972237</v>
      </c>
      <c r="D51" s="191">
        <f t="shared" si="1"/>
        <v>52.032811168571811</v>
      </c>
      <c r="E51" s="191">
        <f t="shared" si="1"/>
        <v>77.414670275192208</v>
      </c>
      <c r="F51" s="190">
        <f t="shared" si="1"/>
        <v>659.92833677213025</v>
      </c>
      <c r="G51" s="191">
        <f t="shared" si="1"/>
        <v>1522.9115463972237</v>
      </c>
      <c r="H51" s="193">
        <f t="shared" si="1"/>
        <v>1903.6394329965296</v>
      </c>
      <c r="I51" s="190">
        <f t="shared" si="1"/>
        <v>5837.8275945226906</v>
      </c>
      <c r="J51" s="191">
        <f t="shared" si="1"/>
        <v>19036.394329965296</v>
      </c>
      <c r="K51" s="199">
        <f t="shared" si="1"/>
        <v>27920.045017282435</v>
      </c>
      <c r="L51" s="4"/>
    </row>
    <row r="52" spans="2:12" ht="15" customHeight="1" x14ac:dyDescent="0.25">
      <c r="B52" s="8">
        <v>2020</v>
      </c>
      <c r="C52" s="16">
        <f t="shared" si="1"/>
        <v>15.229115463972237</v>
      </c>
      <c r="D52" s="17">
        <f t="shared" si="1"/>
        <v>53.30190412390283</v>
      </c>
      <c r="E52" s="17">
        <f t="shared" si="1"/>
        <v>78.683763230523226</v>
      </c>
      <c r="F52" s="16">
        <f t="shared" si="1"/>
        <v>685.31019587875062</v>
      </c>
      <c r="G52" s="17">
        <f t="shared" si="1"/>
        <v>1522.9115463972237</v>
      </c>
      <c r="H52" s="194">
        <f t="shared" si="1"/>
        <v>2030.5487285296315</v>
      </c>
      <c r="I52" s="16">
        <f t="shared" si="1"/>
        <v>5964.7368900557931</v>
      </c>
      <c r="J52" s="17">
        <f t="shared" si="1"/>
        <v>19036.394329965296</v>
      </c>
      <c r="K52" s="200">
        <f t="shared" si="1"/>
        <v>27920.045017282435</v>
      </c>
      <c r="L52" s="4"/>
    </row>
    <row r="53" spans="2:12" ht="15" customHeight="1" x14ac:dyDescent="0.25">
      <c r="B53" s="9">
        <v>2021</v>
      </c>
      <c r="C53" s="205">
        <f t="shared" si="1"/>
        <v>15.229115463972237</v>
      </c>
      <c r="D53" s="44">
        <f t="shared" si="1"/>
        <v>53.30190412390283</v>
      </c>
      <c r="E53" s="44">
        <f t="shared" si="1"/>
        <v>79.952856185854245</v>
      </c>
      <c r="F53" s="205">
        <f t="shared" si="1"/>
        <v>710.6920549853711</v>
      </c>
      <c r="G53" s="44">
        <f t="shared" si="1"/>
        <v>1522.9115463972237</v>
      </c>
      <c r="H53" s="206">
        <f t="shared" si="1"/>
        <v>2030.5487285296315</v>
      </c>
      <c r="I53" s="205">
        <f t="shared" si="1"/>
        <v>6218.5554811219963</v>
      </c>
      <c r="J53" s="44">
        <f t="shared" si="1"/>
        <v>19036.394329965296</v>
      </c>
      <c r="K53" s="207">
        <f t="shared" si="1"/>
        <v>29189.137972613455</v>
      </c>
      <c r="L53" s="4"/>
    </row>
    <row r="54" spans="2:12" ht="15" customHeight="1" x14ac:dyDescent="0.25">
      <c r="B54" s="8">
        <v>2022</v>
      </c>
      <c r="C54" s="16">
        <f t="shared" si="1"/>
        <v>16.498208419303257</v>
      </c>
      <c r="D54" s="17">
        <f t="shared" si="1"/>
        <v>54.570997079233848</v>
      </c>
      <c r="E54" s="17">
        <f t="shared" si="1"/>
        <v>81.221949141185263</v>
      </c>
      <c r="F54" s="16">
        <f t="shared" si="1"/>
        <v>748.76484364530165</v>
      </c>
      <c r="G54" s="17">
        <f t="shared" si="1"/>
        <v>1649.8208419303257</v>
      </c>
      <c r="H54" s="194">
        <f t="shared" si="1"/>
        <v>2157.4580240627333</v>
      </c>
      <c r="I54" s="16">
        <f t="shared" si="1"/>
        <v>6345.4647766550988</v>
      </c>
      <c r="J54" s="17">
        <f t="shared" si="1"/>
        <v>20305.487285296316</v>
      </c>
      <c r="K54" s="200">
        <f t="shared" si="1"/>
        <v>29189.137972613455</v>
      </c>
      <c r="L54" s="4"/>
    </row>
    <row r="55" spans="2:12" x14ac:dyDescent="0.25">
      <c r="B55" s="9">
        <v>2023</v>
      </c>
      <c r="C55" s="205">
        <f t="shared" si="1"/>
        <v>16.498208419303257</v>
      </c>
      <c r="D55" s="44">
        <f t="shared" si="1"/>
        <v>55.840090034564867</v>
      </c>
      <c r="E55" s="44">
        <f t="shared" si="1"/>
        <v>82.491042096516281</v>
      </c>
      <c r="F55" s="205">
        <f t="shared" si="1"/>
        <v>774.14670275192202</v>
      </c>
      <c r="G55" s="44">
        <f t="shared" si="1"/>
        <v>1649.8208419303257</v>
      </c>
      <c r="H55" s="206">
        <f t="shared" si="1"/>
        <v>2157.4580240627333</v>
      </c>
      <c r="I55" s="205">
        <f t="shared" si="1"/>
        <v>6599.283367721303</v>
      </c>
      <c r="J55" s="44">
        <f t="shared" si="1"/>
        <v>20305.487285296316</v>
      </c>
      <c r="K55" s="207">
        <f t="shared" si="1"/>
        <v>29189.137972613455</v>
      </c>
    </row>
    <row r="56" spans="2:12" x14ac:dyDescent="0.25">
      <c r="B56" s="8">
        <v>2024</v>
      </c>
      <c r="C56" s="16">
        <f t="shared" si="1"/>
        <v>16.498208419303257</v>
      </c>
      <c r="D56" s="17">
        <f t="shared" si="1"/>
        <v>57.109182989895885</v>
      </c>
      <c r="E56" s="17">
        <f t="shared" si="1"/>
        <v>83.7601350518473</v>
      </c>
      <c r="F56" s="16">
        <f t="shared" si="1"/>
        <v>799.52856185854239</v>
      </c>
      <c r="G56" s="17">
        <f t="shared" si="1"/>
        <v>1776.7301374634276</v>
      </c>
      <c r="H56" s="194">
        <f t="shared" si="1"/>
        <v>2284.3673195958354</v>
      </c>
      <c r="I56" s="16">
        <f t="shared" si="1"/>
        <v>6853.1019587875062</v>
      </c>
      <c r="J56" s="17">
        <f t="shared" si="1"/>
        <v>20305.487285296316</v>
      </c>
      <c r="K56" s="200">
        <f t="shared" si="1"/>
        <v>30458.230927944474</v>
      </c>
    </row>
    <row r="57" spans="2:12" x14ac:dyDescent="0.25">
      <c r="B57" s="9">
        <v>2025</v>
      </c>
      <c r="C57" s="205">
        <f t="shared" si="1"/>
        <v>17.767301374634275</v>
      </c>
      <c r="D57" s="44">
        <f t="shared" si="1"/>
        <v>58.37827594522691</v>
      </c>
      <c r="E57" s="44">
        <f t="shared" si="1"/>
        <v>86.298320962509337</v>
      </c>
      <c r="F57" s="205">
        <f t="shared" si="1"/>
        <v>824.91042096516287</v>
      </c>
      <c r="G57" s="44">
        <f t="shared" si="1"/>
        <v>1776.7301374634276</v>
      </c>
      <c r="H57" s="206">
        <f t="shared" si="1"/>
        <v>2284.3673195958354</v>
      </c>
      <c r="I57" s="205">
        <f t="shared" si="1"/>
        <v>6980.0112543206087</v>
      </c>
      <c r="J57" s="44">
        <f t="shared" si="1"/>
        <v>21574.580240627336</v>
      </c>
      <c r="K57" s="207">
        <f t="shared" si="1"/>
        <v>30458.230927944474</v>
      </c>
    </row>
    <row r="58" spans="2:12" x14ac:dyDescent="0.25">
      <c r="B58" s="8">
        <v>2026</v>
      </c>
      <c r="C58" s="16">
        <f t="shared" si="1"/>
        <v>17.767301374634275</v>
      </c>
      <c r="D58" s="17">
        <f t="shared" si="1"/>
        <v>59.647368900557929</v>
      </c>
      <c r="E58" s="17">
        <f t="shared" si="1"/>
        <v>87.567413917840355</v>
      </c>
      <c r="F58" s="16">
        <f t="shared" si="1"/>
        <v>850.29228007178324</v>
      </c>
      <c r="G58" s="17">
        <f t="shared" si="1"/>
        <v>1776.7301374634276</v>
      </c>
      <c r="H58" s="194">
        <f t="shared" si="1"/>
        <v>2411.2766151289375</v>
      </c>
      <c r="I58" s="16">
        <f t="shared" si="1"/>
        <v>7233.8298453868128</v>
      </c>
      <c r="J58" s="17">
        <f t="shared" si="1"/>
        <v>21574.580240627336</v>
      </c>
      <c r="K58" s="200">
        <f t="shared" si="1"/>
        <v>31727.323883275494</v>
      </c>
    </row>
    <row r="59" spans="2:12" x14ac:dyDescent="0.25">
      <c r="B59" s="9">
        <v>2027</v>
      </c>
      <c r="C59" s="205">
        <f t="shared" si="1"/>
        <v>19.036394329965297</v>
      </c>
      <c r="D59" s="44">
        <f t="shared" si="1"/>
        <v>60.916461855888947</v>
      </c>
      <c r="E59" s="44">
        <f t="shared" si="1"/>
        <v>88.836506873171388</v>
      </c>
      <c r="F59" s="205">
        <f t="shared" si="1"/>
        <v>888.36506873171379</v>
      </c>
      <c r="G59" s="44">
        <f t="shared" si="1"/>
        <v>1903.6394329965296</v>
      </c>
      <c r="H59" s="206">
        <f t="shared" si="1"/>
        <v>2411.2766151289375</v>
      </c>
      <c r="I59" s="205">
        <f t="shared" si="1"/>
        <v>7487.6484364530161</v>
      </c>
      <c r="J59" s="44">
        <f t="shared" si="1"/>
        <v>21574.580240627336</v>
      </c>
      <c r="K59" s="207">
        <f t="shared" si="1"/>
        <v>31727.323883275494</v>
      </c>
    </row>
    <row r="60" spans="2:12" x14ac:dyDescent="0.25">
      <c r="B60" s="8">
        <v>2028</v>
      </c>
      <c r="C60" s="16">
        <f t="shared" si="1"/>
        <v>19.036394329965297</v>
      </c>
      <c r="D60" s="17">
        <f t="shared" si="1"/>
        <v>62.185554811219966</v>
      </c>
      <c r="E60" s="17">
        <f t="shared" si="1"/>
        <v>90.105599828502406</v>
      </c>
      <c r="F60" s="16">
        <f t="shared" si="1"/>
        <v>913.74692783833416</v>
      </c>
      <c r="G60" s="17">
        <f t="shared" si="1"/>
        <v>1903.6394329965296</v>
      </c>
      <c r="H60" s="194">
        <f t="shared" si="1"/>
        <v>2538.1859106620395</v>
      </c>
      <c r="I60" s="16">
        <f t="shared" si="1"/>
        <v>7614.5577319861186</v>
      </c>
      <c r="J60" s="17">
        <f t="shared" si="1"/>
        <v>22843.673195958356</v>
      </c>
      <c r="K60" s="200">
        <f t="shared" si="1"/>
        <v>32996.416838606514</v>
      </c>
    </row>
    <row r="61" spans="2:12" x14ac:dyDescent="0.25">
      <c r="B61" s="9">
        <v>2029</v>
      </c>
      <c r="C61" s="205">
        <f t="shared" si="1"/>
        <v>19.036394329965297</v>
      </c>
      <c r="D61" s="44">
        <f t="shared" si="1"/>
        <v>62.185554811219966</v>
      </c>
      <c r="E61" s="44">
        <f t="shared" si="1"/>
        <v>91.374692783833424</v>
      </c>
      <c r="F61" s="205">
        <f t="shared" si="1"/>
        <v>939.12878694495464</v>
      </c>
      <c r="G61" s="44">
        <f t="shared" si="1"/>
        <v>2030.5487285296315</v>
      </c>
      <c r="H61" s="206">
        <f t="shared" si="1"/>
        <v>2538.1859106620395</v>
      </c>
      <c r="I61" s="205">
        <f t="shared" si="1"/>
        <v>7868.3763230523227</v>
      </c>
      <c r="J61" s="44">
        <f t="shared" si="1"/>
        <v>22843.673195958356</v>
      </c>
      <c r="K61" s="207">
        <f t="shared" si="1"/>
        <v>32996.416838606514</v>
      </c>
    </row>
    <row r="62" spans="2:12" x14ac:dyDescent="0.25">
      <c r="B62" s="8">
        <v>2030</v>
      </c>
      <c r="C62" s="16">
        <f t="shared" si="1"/>
        <v>20.305487285296316</v>
      </c>
      <c r="D62" s="17">
        <f t="shared" si="1"/>
        <v>63.454647766550984</v>
      </c>
      <c r="E62" s="17">
        <f t="shared" si="1"/>
        <v>92.643785739164443</v>
      </c>
      <c r="F62" s="16">
        <f t="shared" si="1"/>
        <v>964.51064605157501</v>
      </c>
      <c r="G62" s="17">
        <f t="shared" si="1"/>
        <v>2030.5487285296315</v>
      </c>
      <c r="H62" s="194">
        <f t="shared" si="1"/>
        <v>2538.1859106620395</v>
      </c>
      <c r="I62" s="16">
        <f t="shared" si="1"/>
        <v>7995.2856185854243</v>
      </c>
      <c r="J62" s="17">
        <f t="shared" si="1"/>
        <v>24112.766151289376</v>
      </c>
      <c r="K62" s="200">
        <f t="shared" si="1"/>
        <v>34265.509793937534</v>
      </c>
    </row>
    <row r="63" spans="2:12" x14ac:dyDescent="0.25">
      <c r="B63" s="9">
        <v>2031</v>
      </c>
      <c r="C63" s="205">
        <f t="shared" si="1"/>
        <v>20.305487285296316</v>
      </c>
      <c r="D63" s="44">
        <f t="shared" si="1"/>
        <v>64.72374072188201</v>
      </c>
      <c r="E63" s="44">
        <f t="shared" si="1"/>
        <v>93.912878694495461</v>
      </c>
      <c r="F63" s="205">
        <f t="shared" si="1"/>
        <v>1002.5834347115056</v>
      </c>
      <c r="G63" s="44">
        <f t="shared" si="1"/>
        <v>2030.5487285296315</v>
      </c>
      <c r="H63" s="206">
        <f t="shared" si="1"/>
        <v>2665.0952061951416</v>
      </c>
      <c r="I63" s="205">
        <f t="shared" si="1"/>
        <v>8249.1042096516285</v>
      </c>
      <c r="J63" s="44">
        <f t="shared" si="1"/>
        <v>24112.766151289376</v>
      </c>
      <c r="K63" s="207">
        <f t="shared" si="1"/>
        <v>34265.509793937534</v>
      </c>
    </row>
    <row r="64" spans="2:12" x14ac:dyDescent="0.25">
      <c r="B64" s="8">
        <v>2032</v>
      </c>
      <c r="C64" s="16">
        <f t="shared" si="1"/>
        <v>21.574580240627334</v>
      </c>
      <c r="D64" s="17">
        <f t="shared" si="1"/>
        <v>65.992833677213028</v>
      </c>
      <c r="E64" s="17">
        <f t="shared" si="1"/>
        <v>95.18197164982648</v>
      </c>
      <c r="F64" s="16">
        <f t="shared" si="1"/>
        <v>1040.6562233714362</v>
      </c>
      <c r="G64" s="17">
        <f t="shared" si="1"/>
        <v>2157.4580240627333</v>
      </c>
      <c r="H64" s="194">
        <f t="shared" si="1"/>
        <v>2665.0952061951416</v>
      </c>
      <c r="I64" s="16">
        <f t="shared" si="1"/>
        <v>8629.8320962509333</v>
      </c>
      <c r="J64" s="17">
        <f t="shared" si="1"/>
        <v>24112.766151289376</v>
      </c>
      <c r="K64" s="200">
        <f t="shared" si="1"/>
        <v>35534.602749268553</v>
      </c>
    </row>
    <row r="65" spans="2:11" x14ac:dyDescent="0.25">
      <c r="B65" s="9">
        <v>2033</v>
      </c>
      <c r="C65" s="205">
        <f t="shared" si="1"/>
        <v>21.574580240627334</v>
      </c>
      <c r="D65" s="44">
        <f t="shared" si="1"/>
        <v>67.261926632544046</v>
      </c>
      <c r="E65" s="44">
        <f t="shared" si="1"/>
        <v>96.451064605157498</v>
      </c>
      <c r="F65" s="205">
        <f t="shared" si="1"/>
        <v>1078.7290120313667</v>
      </c>
      <c r="G65" s="44">
        <f t="shared" si="1"/>
        <v>2157.4580240627333</v>
      </c>
      <c r="H65" s="206">
        <f t="shared" si="1"/>
        <v>2792.0045017282432</v>
      </c>
      <c r="I65" s="205">
        <f t="shared" si="1"/>
        <v>8883.6506873171384</v>
      </c>
      <c r="J65" s="44">
        <f t="shared" si="1"/>
        <v>25381.859106620395</v>
      </c>
      <c r="K65" s="207">
        <f t="shared" si="1"/>
        <v>35534.602749268553</v>
      </c>
    </row>
    <row r="66" spans="2:11" x14ac:dyDescent="0.25">
      <c r="B66" s="8">
        <v>2034</v>
      </c>
      <c r="C66" s="16">
        <f t="shared" si="1"/>
        <v>22.843673195958356</v>
      </c>
      <c r="D66" s="17">
        <f t="shared" si="1"/>
        <v>68.531019587875065</v>
      </c>
      <c r="E66" s="17">
        <f t="shared" si="1"/>
        <v>97.720157560488516</v>
      </c>
      <c r="F66" s="16">
        <f t="shared" si="1"/>
        <v>1116.8018006912973</v>
      </c>
      <c r="G66" s="17">
        <f t="shared" si="1"/>
        <v>2284.3673195958354</v>
      </c>
      <c r="H66" s="194">
        <f t="shared" si="1"/>
        <v>2792.0045017282432</v>
      </c>
      <c r="I66" s="16">
        <f t="shared" si="1"/>
        <v>9137.4692783833416</v>
      </c>
      <c r="J66" s="17">
        <f t="shared" si="1"/>
        <v>25381.859106620395</v>
      </c>
      <c r="K66" s="200">
        <f t="shared" si="1"/>
        <v>36803.695704599573</v>
      </c>
    </row>
    <row r="67" spans="2:11" x14ac:dyDescent="0.25">
      <c r="B67" s="9">
        <v>2035</v>
      </c>
      <c r="C67" s="205">
        <f t="shared" si="1"/>
        <v>22.843673195958356</v>
      </c>
      <c r="D67" s="44">
        <f t="shared" si="1"/>
        <v>69.800112543206083</v>
      </c>
      <c r="E67" s="44">
        <f t="shared" si="1"/>
        <v>98.989250515819535</v>
      </c>
      <c r="F67" s="205">
        <f t="shared" si="1"/>
        <v>1142.1836597979177</v>
      </c>
      <c r="G67" s="44">
        <f t="shared" si="1"/>
        <v>2284.3673195958354</v>
      </c>
      <c r="H67" s="206">
        <f t="shared" si="1"/>
        <v>2918.9137972613453</v>
      </c>
      <c r="I67" s="205">
        <f t="shared" si="1"/>
        <v>9391.2878694495466</v>
      </c>
      <c r="J67" s="44">
        <f t="shared" si="1"/>
        <v>26650.952061951415</v>
      </c>
      <c r="K67" s="207">
        <f t="shared" si="1"/>
        <v>36803.695704599573</v>
      </c>
    </row>
    <row r="68" spans="2:11" x14ac:dyDescent="0.25">
      <c r="B68" s="8">
        <v>2036</v>
      </c>
      <c r="C68" s="16">
        <f t="shared" si="1"/>
        <v>24.112766151289375</v>
      </c>
      <c r="D68" s="17">
        <f t="shared" si="1"/>
        <v>71.069205498537102</v>
      </c>
      <c r="E68" s="17">
        <f t="shared" si="1"/>
        <v>100.25834347115055</v>
      </c>
      <c r="F68" s="16">
        <f t="shared" si="1"/>
        <v>1180.2564484578484</v>
      </c>
      <c r="G68" s="17">
        <f t="shared" si="1"/>
        <v>2411.2766151289375</v>
      </c>
      <c r="H68" s="194">
        <f t="shared" si="1"/>
        <v>3045.8230927944473</v>
      </c>
      <c r="I68" s="16">
        <f t="shared" si="1"/>
        <v>9645.1064605157499</v>
      </c>
      <c r="J68" s="17">
        <f t="shared" si="1"/>
        <v>26650.952061951415</v>
      </c>
      <c r="K68" s="200">
        <f t="shared" si="1"/>
        <v>38072.788659930593</v>
      </c>
    </row>
    <row r="69" spans="2:11" x14ac:dyDescent="0.25">
      <c r="B69" s="9">
        <v>2037</v>
      </c>
      <c r="C69" s="205">
        <f t="shared" si="1"/>
        <v>24.112766151289375</v>
      </c>
      <c r="D69" s="44">
        <f t="shared" si="1"/>
        <v>72.33829845386812</v>
      </c>
      <c r="E69" s="44">
        <f t="shared" si="1"/>
        <v>102.7965293818126</v>
      </c>
      <c r="F69" s="205">
        <f t="shared" si="1"/>
        <v>1218.329237117779</v>
      </c>
      <c r="G69" s="44">
        <f t="shared" si="1"/>
        <v>2411.2766151289375</v>
      </c>
      <c r="H69" s="206">
        <f t="shared" si="1"/>
        <v>3045.8230927944473</v>
      </c>
      <c r="I69" s="205">
        <f t="shared" si="1"/>
        <v>9898.9250515819531</v>
      </c>
      <c r="J69" s="44">
        <f t="shared" si="1"/>
        <v>26650.952061951415</v>
      </c>
      <c r="K69" s="207">
        <f t="shared" si="1"/>
        <v>38072.788659930593</v>
      </c>
    </row>
    <row r="70" spans="2:11" x14ac:dyDescent="0.25">
      <c r="B70" s="8">
        <v>2038</v>
      </c>
      <c r="C70" s="16">
        <f t="shared" si="1"/>
        <v>25.381859106620396</v>
      </c>
      <c r="D70" s="17">
        <f t="shared" si="1"/>
        <v>73.607391409199138</v>
      </c>
      <c r="E70" s="17">
        <f t="shared" si="1"/>
        <v>104.06562233714362</v>
      </c>
      <c r="F70" s="16">
        <f t="shared" si="1"/>
        <v>1256.4020257777095</v>
      </c>
      <c r="G70" s="17">
        <f t="shared" si="1"/>
        <v>2538.1859106620395</v>
      </c>
      <c r="H70" s="194">
        <f t="shared" si="1"/>
        <v>3172.7323883275494</v>
      </c>
      <c r="I70" s="16">
        <f t="shared" si="1"/>
        <v>10152.743642648158</v>
      </c>
      <c r="J70" s="17">
        <f t="shared" si="1"/>
        <v>27920.045017282435</v>
      </c>
      <c r="K70" s="200">
        <f t="shared" si="1"/>
        <v>39341.881615261613</v>
      </c>
    </row>
    <row r="71" spans="2:11" x14ac:dyDescent="0.25">
      <c r="B71" s="9">
        <v>2039</v>
      </c>
      <c r="C71" s="205">
        <f t="shared" si="1"/>
        <v>25.381859106620396</v>
      </c>
      <c r="D71" s="44">
        <f t="shared" si="1"/>
        <v>74.876484364530171</v>
      </c>
      <c r="E71" s="44">
        <f t="shared" si="1"/>
        <v>105.33471529247464</v>
      </c>
      <c r="F71" s="205">
        <f t="shared" si="1"/>
        <v>1269.0929553310198</v>
      </c>
      <c r="G71" s="44">
        <f t="shared" si="1"/>
        <v>2538.1859106620395</v>
      </c>
      <c r="H71" s="206">
        <f t="shared" si="1"/>
        <v>3172.7323883275494</v>
      </c>
      <c r="I71" s="205">
        <f t="shared" si="1"/>
        <v>10406.562233714361</v>
      </c>
      <c r="J71" s="44">
        <f t="shared" si="1"/>
        <v>27920.045017282435</v>
      </c>
      <c r="K71" s="207">
        <f t="shared" si="1"/>
        <v>39341.881615261613</v>
      </c>
    </row>
    <row r="72" spans="2:11" x14ac:dyDescent="0.25">
      <c r="B72" s="8">
        <v>2040</v>
      </c>
      <c r="C72" s="16">
        <f t="shared" si="1"/>
        <v>26.650952061951415</v>
      </c>
      <c r="D72" s="17">
        <f t="shared" si="1"/>
        <v>76.145577319861189</v>
      </c>
      <c r="E72" s="17">
        <f t="shared" si="1"/>
        <v>106.60380824780566</v>
      </c>
      <c r="F72" s="16">
        <f t="shared" si="1"/>
        <v>1269.0929553310198</v>
      </c>
      <c r="G72" s="17">
        <f t="shared" si="1"/>
        <v>2538.1859106620395</v>
      </c>
      <c r="H72" s="194">
        <f t="shared" si="1"/>
        <v>3299.6416838606515</v>
      </c>
      <c r="I72" s="16">
        <f t="shared" si="1"/>
        <v>10660.380824780566</v>
      </c>
      <c r="J72" s="17">
        <f t="shared" si="1"/>
        <v>29189.137972613455</v>
      </c>
      <c r="K72" s="200">
        <f t="shared" si="1"/>
        <v>40610.974570592633</v>
      </c>
    </row>
    <row r="73" spans="2:11" x14ac:dyDescent="0.25">
      <c r="B73" s="9">
        <v>2041</v>
      </c>
      <c r="C73" s="205">
        <f t="shared" si="1"/>
        <v>26.650952061951415</v>
      </c>
      <c r="D73" s="44">
        <f t="shared" si="1"/>
        <v>77.414670275192208</v>
      </c>
      <c r="E73" s="44">
        <f t="shared" si="1"/>
        <v>107.87290120313668</v>
      </c>
      <c r="F73" s="205">
        <f t="shared" si="1"/>
        <v>1396.0022508641216</v>
      </c>
      <c r="G73" s="44">
        <f t="shared" si="1"/>
        <v>2665.0952061951416</v>
      </c>
      <c r="H73" s="206">
        <f t="shared" si="1"/>
        <v>3299.6416838606515</v>
      </c>
      <c r="I73" s="205">
        <f t="shared" si="1"/>
        <v>10914.19941584677</v>
      </c>
      <c r="J73" s="44">
        <f t="shared" si="1"/>
        <v>29189.137972613455</v>
      </c>
      <c r="K73" s="207">
        <f t="shared" si="1"/>
        <v>40610.974570592633</v>
      </c>
    </row>
    <row r="74" spans="2:11" x14ac:dyDescent="0.25">
      <c r="B74" s="8">
        <v>2042</v>
      </c>
      <c r="C74" s="16">
        <f t="shared" si="1"/>
        <v>27.920045017282433</v>
      </c>
      <c r="D74" s="17">
        <f t="shared" si="1"/>
        <v>77.414670275192208</v>
      </c>
      <c r="E74" s="17">
        <f t="shared" si="1"/>
        <v>109.1419941584677</v>
      </c>
      <c r="F74" s="16">
        <f t="shared" si="1"/>
        <v>1396.0022508641216</v>
      </c>
      <c r="G74" s="17">
        <f t="shared" si="1"/>
        <v>2665.0952061951416</v>
      </c>
      <c r="H74" s="194">
        <f t="shared" si="1"/>
        <v>3426.5509793937531</v>
      </c>
      <c r="I74" s="16">
        <f t="shared" si="1"/>
        <v>11168.018006912973</v>
      </c>
      <c r="J74" s="17">
        <f t="shared" si="1"/>
        <v>29189.137972613455</v>
      </c>
      <c r="K74" s="200">
        <f t="shared" si="1"/>
        <v>41880.067525923652</v>
      </c>
    </row>
    <row r="75" spans="2:11" x14ac:dyDescent="0.25">
      <c r="B75" s="9">
        <v>2043</v>
      </c>
      <c r="C75" s="205">
        <f t="shared" si="1"/>
        <v>27.920045017282433</v>
      </c>
      <c r="D75" s="44">
        <f t="shared" si="1"/>
        <v>78.683763230523226</v>
      </c>
      <c r="E75" s="44">
        <f t="shared" si="1"/>
        <v>110.41108711379871</v>
      </c>
      <c r="F75" s="205">
        <f t="shared" si="1"/>
        <v>1396.0022508641216</v>
      </c>
      <c r="G75" s="44">
        <f t="shared" si="1"/>
        <v>2792.0045017282432</v>
      </c>
      <c r="H75" s="206">
        <f t="shared" si="1"/>
        <v>3426.5509793937531</v>
      </c>
      <c r="I75" s="205">
        <f t="shared" si="1"/>
        <v>11548.74589351228</v>
      </c>
      <c r="J75" s="44">
        <f t="shared" si="1"/>
        <v>30458.230927944474</v>
      </c>
      <c r="K75" s="207">
        <f t="shared" si="1"/>
        <v>41880.067525923652</v>
      </c>
    </row>
    <row r="76" spans="2:11" x14ac:dyDescent="0.25">
      <c r="B76" s="8">
        <v>2044</v>
      </c>
      <c r="C76" s="16">
        <f t="shared" si="1"/>
        <v>29.189137972613455</v>
      </c>
      <c r="D76" s="17">
        <f t="shared" si="1"/>
        <v>79.952856185854245</v>
      </c>
      <c r="E76" s="17">
        <f t="shared" si="1"/>
        <v>111.68018006912973</v>
      </c>
      <c r="F76" s="16">
        <f t="shared" si="1"/>
        <v>1522.9115463972237</v>
      </c>
      <c r="G76" s="17">
        <f t="shared" si="1"/>
        <v>2792.0045017282432</v>
      </c>
      <c r="H76" s="194">
        <f t="shared" si="1"/>
        <v>3553.4602749268552</v>
      </c>
      <c r="I76" s="16">
        <f t="shared" si="1"/>
        <v>11802.564484578483</v>
      </c>
      <c r="J76" s="17">
        <f t="shared" si="1"/>
        <v>30458.230927944474</v>
      </c>
      <c r="K76" s="200">
        <f t="shared" si="1"/>
        <v>43149.160481254672</v>
      </c>
    </row>
    <row r="77" spans="2:11" x14ac:dyDescent="0.25">
      <c r="B77" s="9">
        <v>2045</v>
      </c>
      <c r="C77" s="205">
        <f t="shared" si="1"/>
        <v>29.189137972613455</v>
      </c>
      <c r="D77" s="44">
        <f t="shared" si="1"/>
        <v>81.221949141185263</v>
      </c>
      <c r="E77" s="44">
        <f t="shared" si="1"/>
        <v>112.94927302446075</v>
      </c>
      <c r="F77" s="205">
        <f t="shared" si="1"/>
        <v>1522.9115463972237</v>
      </c>
      <c r="G77" s="44">
        <f t="shared" si="1"/>
        <v>2918.9137972613453</v>
      </c>
      <c r="H77" s="206">
        <f t="shared" si="1"/>
        <v>3553.4602749268552</v>
      </c>
      <c r="I77" s="205">
        <f t="shared" si="1"/>
        <v>12056.383075644688</v>
      </c>
      <c r="J77" s="44">
        <f t="shared" ref="D77:K82" si="2">J37*(1+$G$44)^(2020-2007)</f>
        <v>31727.323883275494</v>
      </c>
      <c r="K77" s="207">
        <f t="shared" si="2"/>
        <v>43149.160481254672</v>
      </c>
    </row>
    <row r="78" spans="2:11" x14ac:dyDescent="0.25">
      <c r="B78" s="8">
        <v>2046</v>
      </c>
      <c r="C78" s="16">
        <f t="shared" si="1"/>
        <v>30.458230927944474</v>
      </c>
      <c r="D78" s="17">
        <f t="shared" si="2"/>
        <v>82.491042096516281</v>
      </c>
      <c r="E78" s="17">
        <f t="shared" si="2"/>
        <v>114.21836597979177</v>
      </c>
      <c r="F78" s="16">
        <f t="shared" si="2"/>
        <v>1522.9115463972237</v>
      </c>
      <c r="G78" s="17">
        <f t="shared" si="2"/>
        <v>2918.9137972613453</v>
      </c>
      <c r="H78" s="194">
        <f t="shared" si="2"/>
        <v>3680.3695704599572</v>
      </c>
      <c r="I78" s="16">
        <f t="shared" si="2"/>
        <v>12437.110962243993</v>
      </c>
      <c r="J78" s="17">
        <f t="shared" si="2"/>
        <v>31727.323883275494</v>
      </c>
      <c r="K78" s="200">
        <f t="shared" si="2"/>
        <v>44418.253436585692</v>
      </c>
    </row>
    <row r="79" spans="2:11" x14ac:dyDescent="0.25">
      <c r="B79" s="9">
        <v>2047</v>
      </c>
      <c r="C79" s="205">
        <f t="shared" si="1"/>
        <v>30.458230927944474</v>
      </c>
      <c r="D79" s="44">
        <f t="shared" si="2"/>
        <v>83.7601350518473</v>
      </c>
      <c r="E79" s="44">
        <f t="shared" si="2"/>
        <v>116.75655189045382</v>
      </c>
      <c r="F79" s="205">
        <f t="shared" si="2"/>
        <v>1649.8208419303257</v>
      </c>
      <c r="G79" s="44">
        <f t="shared" si="2"/>
        <v>3045.8230927944473</v>
      </c>
      <c r="H79" s="206">
        <f t="shared" si="2"/>
        <v>3680.3695704599572</v>
      </c>
      <c r="I79" s="205">
        <f t="shared" si="2"/>
        <v>12690.929553310198</v>
      </c>
      <c r="J79" s="44">
        <f t="shared" si="2"/>
        <v>32996.416838606514</v>
      </c>
      <c r="K79" s="207">
        <f t="shared" si="2"/>
        <v>44418.253436585692</v>
      </c>
    </row>
    <row r="80" spans="2:11" x14ac:dyDescent="0.25">
      <c r="B80" s="8">
        <v>2048</v>
      </c>
      <c r="C80" s="16">
        <f t="shared" si="1"/>
        <v>31.727323883275492</v>
      </c>
      <c r="D80" s="17">
        <f t="shared" si="2"/>
        <v>85.029228007178318</v>
      </c>
      <c r="E80" s="17">
        <f t="shared" si="2"/>
        <v>118.02564484578484</v>
      </c>
      <c r="F80" s="16">
        <f t="shared" si="2"/>
        <v>1649.8208419303257</v>
      </c>
      <c r="G80" s="17">
        <f t="shared" si="2"/>
        <v>3045.8230927944473</v>
      </c>
      <c r="H80" s="194">
        <f t="shared" si="2"/>
        <v>3807.2788659930593</v>
      </c>
      <c r="I80" s="16">
        <f t="shared" si="2"/>
        <v>12690.929553310198</v>
      </c>
      <c r="J80" s="17">
        <f t="shared" si="2"/>
        <v>32996.416838606514</v>
      </c>
      <c r="K80" s="200">
        <f t="shared" si="2"/>
        <v>45687.346391916712</v>
      </c>
    </row>
    <row r="81" spans="2:11" x14ac:dyDescent="0.25">
      <c r="B81" s="9">
        <v>2049</v>
      </c>
      <c r="C81" s="208">
        <f t="shared" si="1"/>
        <v>31.727323883275492</v>
      </c>
      <c r="D81" s="209">
        <f t="shared" si="2"/>
        <v>86.298320962509337</v>
      </c>
      <c r="E81" s="209">
        <f t="shared" si="2"/>
        <v>119.29473780111586</v>
      </c>
      <c r="F81" s="208">
        <f t="shared" si="2"/>
        <v>1649.8208419303257</v>
      </c>
      <c r="G81" s="209">
        <f t="shared" si="2"/>
        <v>3172.7323883275494</v>
      </c>
      <c r="H81" s="210">
        <f t="shared" si="2"/>
        <v>3807.2788659930593</v>
      </c>
      <c r="I81" s="208">
        <f t="shared" si="2"/>
        <v>12690.929553310198</v>
      </c>
      <c r="J81" s="209">
        <f t="shared" si="2"/>
        <v>32996.416838606514</v>
      </c>
      <c r="K81" s="211">
        <f t="shared" si="2"/>
        <v>45687.346391916712</v>
      </c>
    </row>
    <row r="82" spans="2:11" ht="15.75" thickBot="1" x14ac:dyDescent="0.3">
      <c r="B82" s="36">
        <v>2050</v>
      </c>
      <c r="C82" s="39">
        <f t="shared" si="1"/>
        <v>32.996416838606514</v>
      </c>
      <c r="D82" s="40">
        <f t="shared" si="2"/>
        <v>87.567413917840355</v>
      </c>
      <c r="E82" s="40">
        <f t="shared" si="2"/>
        <v>120.56383075644688</v>
      </c>
      <c r="F82" s="39">
        <f t="shared" si="2"/>
        <v>1649.8208419303257</v>
      </c>
      <c r="G82" s="40">
        <f t="shared" si="2"/>
        <v>3172.7323883275494</v>
      </c>
      <c r="H82" s="212">
        <f t="shared" si="2"/>
        <v>3934.1881615261614</v>
      </c>
      <c r="I82" s="39">
        <f t="shared" si="2"/>
        <v>13960.022508641217</v>
      </c>
      <c r="J82" s="40">
        <f t="shared" si="2"/>
        <v>34265.509793937534</v>
      </c>
      <c r="K82" s="213">
        <f t="shared" si="2"/>
        <v>46956.439347247731</v>
      </c>
    </row>
  </sheetData>
  <mergeCells count="14">
    <mergeCell ref="B7:B8"/>
    <mergeCell ref="F6:H6"/>
    <mergeCell ref="F7:H7"/>
    <mergeCell ref="C6:E6"/>
    <mergeCell ref="I6:K6"/>
    <mergeCell ref="I7:K7"/>
    <mergeCell ref="C7:E7"/>
    <mergeCell ref="B47:B48"/>
    <mergeCell ref="C46:E46"/>
    <mergeCell ref="F46:H46"/>
    <mergeCell ref="I46:K46"/>
    <mergeCell ref="C47:E47"/>
    <mergeCell ref="F47:H47"/>
    <mergeCell ref="I47:K47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2:C70"/>
  <sheetViews>
    <sheetView workbookViewId="0">
      <selection activeCell="C36" sqref="C36"/>
    </sheetView>
  </sheetViews>
  <sheetFormatPr defaultRowHeight="15" x14ac:dyDescent="0.25"/>
  <cols>
    <col min="2" max="2" width="37.140625" bestFit="1" customWidth="1"/>
    <col min="3" max="3" width="125.7109375" style="238" bestFit="1" customWidth="1"/>
  </cols>
  <sheetData>
    <row r="2" spans="2:3" x14ac:dyDescent="0.25">
      <c r="B2" s="391" t="s">
        <v>116</v>
      </c>
      <c r="C2" s="391"/>
    </row>
    <row r="3" spans="2:3" x14ac:dyDescent="0.25">
      <c r="B3" s="235" t="s">
        <v>105</v>
      </c>
      <c r="C3" s="238" t="s">
        <v>213</v>
      </c>
    </row>
    <row r="4" spans="2:3" x14ac:dyDescent="0.25">
      <c r="B4" s="146" t="s">
        <v>200</v>
      </c>
      <c r="C4" s="238" t="s">
        <v>209</v>
      </c>
    </row>
    <row r="5" spans="2:3" x14ac:dyDescent="0.25">
      <c r="B5" t="s">
        <v>281</v>
      </c>
      <c r="C5" s="238" t="s">
        <v>210</v>
      </c>
    </row>
    <row r="6" spans="2:3" x14ac:dyDescent="0.25">
      <c r="B6" t="s">
        <v>282</v>
      </c>
      <c r="C6" s="238" t="s">
        <v>212</v>
      </c>
    </row>
    <row r="7" spans="2:3" x14ac:dyDescent="0.25">
      <c r="B7" t="s">
        <v>283</v>
      </c>
      <c r="C7" s="238" t="s">
        <v>211</v>
      </c>
    </row>
    <row r="8" spans="2:3" x14ac:dyDescent="0.25">
      <c r="B8" s="391" t="s">
        <v>109</v>
      </c>
      <c r="C8" s="391"/>
    </row>
    <row r="9" spans="2:3" x14ac:dyDescent="0.25">
      <c r="B9" s="18" t="s">
        <v>51</v>
      </c>
      <c r="C9" s="238" t="s">
        <v>214</v>
      </c>
    </row>
    <row r="10" spans="2:3" x14ac:dyDescent="0.25">
      <c r="B10" s="18" t="s">
        <v>69</v>
      </c>
      <c r="C10" s="238" t="s">
        <v>215</v>
      </c>
    </row>
    <row r="11" spans="2:3" x14ac:dyDescent="0.25">
      <c r="B11" s="18" t="s">
        <v>66</v>
      </c>
      <c r="C11" s="238" t="s">
        <v>216</v>
      </c>
    </row>
    <row r="12" spans="2:3" x14ac:dyDescent="0.25">
      <c r="B12" s="18" t="s">
        <v>49</v>
      </c>
      <c r="C12" s="238" t="s">
        <v>217</v>
      </c>
    </row>
    <row r="13" spans="2:3" x14ac:dyDescent="0.25">
      <c r="B13" s="18" t="s">
        <v>50</v>
      </c>
      <c r="C13" s="238" t="s">
        <v>218</v>
      </c>
    </row>
    <row r="14" spans="2:3" x14ac:dyDescent="0.25">
      <c r="B14" s="391" t="s">
        <v>208</v>
      </c>
      <c r="C14" s="391"/>
    </row>
    <row r="15" spans="2:3" x14ac:dyDescent="0.25">
      <c r="B15" s="236" t="s">
        <v>0</v>
      </c>
      <c r="C15" s="238" t="s">
        <v>219</v>
      </c>
    </row>
    <row r="16" spans="2:3" x14ac:dyDescent="0.25">
      <c r="B16" s="391" t="s">
        <v>78</v>
      </c>
      <c r="C16" s="391"/>
    </row>
    <row r="17" spans="2:3" x14ac:dyDescent="0.25">
      <c r="B17" s="237" t="s">
        <v>198</v>
      </c>
      <c r="C17" s="238" t="s">
        <v>220</v>
      </c>
    </row>
    <row r="18" spans="2:3" x14ac:dyDescent="0.25">
      <c r="B18" s="236" t="s">
        <v>79</v>
      </c>
      <c r="C18" s="238" t="s">
        <v>221</v>
      </c>
    </row>
    <row r="19" spans="2:3" x14ac:dyDescent="0.25">
      <c r="B19" s="391" t="s">
        <v>120</v>
      </c>
      <c r="C19" s="391"/>
    </row>
    <row r="20" spans="2:3" x14ac:dyDescent="0.25">
      <c r="B20" s="18" t="s">
        <v>260</v>
      </c>
      <c r="C20" s="239" t="s">
        <v>228</v>
      </c>
    </row>
    <row r="21" spans="2:3" x14ac:dyDescent="0.25">
      <c r="B21" s="18" t="s">
        <v>261</v>
      </c>
      <c r="C21" s="239" t="s">
        <v>229</v>
      </c>
    </row>
    <row r="22" spans="2:3" x14ac:dyDescent="0.25">
      <c r="B22" s="18" t="s">
        <v>262</v>
      </c>
      <c r="C22" s="239" t="s">
        <v>230</v>
      </c>
    </row>
    <row r="23" spans="2:3" x14ac:dyDescent="0.25">
      <c r="B23" s="18" t="s">
        <v>224</v>
      </c>
      <c r="C23" s="239" t="s">
        <v>231</v>
      </c>
    </row>
    <row r="24" spans="2:3" x14ac:dyDescent="0.25">
      <c r="B24" s="18" t="s">
        <v>225</v>
      </c>
      <c r="C24" s="239" t="s">
        <v>232</v>
      </c>
    </row>
    <row r="25" spans="2:3" x14ac:dyDescent="0.25">
      <c r="B25" s="18" t="s">
        <v>226</v>
      </c>
      <c r="C25" s="239" t="s">
        <v>233</v>
      </c>
    </row>
    <row r="26" spans="2:3" x14ac:dyDescent="0.25">
      <c r="B26" s="18" t="s">
        <v>234</v>
      </c>
      <c r="C26" s="239" t="s">
        <v>268</v>
      </c>
    </row>
    <row r="27" spans="2:3" x14ac:dyDescent="0.25">
      <c r="B27" s="18" t="s">
        <v>201</v>
      </c>
      <c r="C27" s="239" t="s">
        <v>269</v>
      </c>
    </row>
    <row r="28" spans="2:3" x14ac:dyDescent="0.25">
      <c r="B28" s="18" t="s">
        <v>227</v>
      </c>
      <c r="C28" s="239" t="s">
        <v>270</v>
      </c>
    </row>
    <row r="29" spans="2:3" x14ac:dyDescent="0.25">
      <c r="B29" s="391" t="s">
        <v>367</v>
      </c>
      <c r="C29" s="391"/>
    </row>
    <row r="30" spans="2:3" x14ac:dyDescent="0.25">
      <c r="B30" s="236" t="s">
        <v>198</v>
      </c>
      <c r="C30" s="238" t="s">
        <v>222</v>
      </c>
    </row>
    <row r="31" spans="2:3" x14ac:dyDescent="0.25">
      <c r="B31" s="236" t="s">
        <v>79</v>
      </c>
      <c r="C31" s="238" t="s">
        <v>223</v>
      </c>
    </row>
    <row r="32" spans="2:3" x14ac:dyDescent="0.25">
      <c r="B32" s="391" t="s">
        <v>363</v>
      </c>
      <c r="C32" s="391"/>
    </row>
    <row r="33" spans="2:3" x14ac:dyDescent="0.25">
      <c r="B33" s="236" t="s">
        <v>198</v>
      </c>
      <c r="C33" s="238" t="s">
        <v>368</v>
      </c>
    </row>
    <row r="34" spans="2:3" x14ac:dyDescent="0.25">
      <c r="B34" s="236" t="s">
        <v>79</v>
      </c>
      <c r="C34" s="238" t="s">
        <v>369</v>
      </c>
    </row>
    <row r="35" spans="2:3" s="330" customFormat="1" x14ac:dyDescent="0.25">
      <c r="B35" s="391" t="s">
        <v>362</v>
      </c>
      <c r="C35" s="391"/>
    </row>
    <row r="36" spans="2:3" s="330" customFormat="1" x14ac:dyDescent="0.25">
      <c r="B36" s="236" t="s">
        <v>198</v>
      </c>
      <c r="C36" s="238" t="s">
        <v>370</v>
      </c>
    </row>
    <row r="37" spans="2:3" s="330" customFormat="1" x14ac:dyDescent="0.25">
      <c r="B37" s="236" t="s">
        <v>79</v>
      </c>
      <c r="C37" s="238" t="s">
        <v>371</v>
      </c>
    </row>
    <row r="38" spans="2:3" s="330" customFormat="1" x14ac:dyDescent="0.25">
      <c r="B38" s="391" t="s">
        <v>364</v>
      </c>
      <c r="C38" s="391"/>
    </row>
    <row r="39" spans="2:3" s="330" customFormat="1" x14ac:dyDescent="0.25">
      <c r="B39" s="236" t="s">
        <v>198</v>
      </c>
      <c r="C39" s="238" t="s">
        <v>372</v>
      </c>
    </row>
    <row r="40" spans="2:3" s="330" customFormat="1" x14ac:dyDescent="0.25">
      <c r="B40" s="236" t="s">
        <v>79</v>
      </c>
      <c r="C40" s="238" t="s">
        <v>373</v>
      </c>
    </row>
    <row r="41" spans="2:3" x14ac:dyDescent="0.25">
      <c r="B41" s="391" t="s">
        <v>365</v>
      </c>
      <c r="C41" s="391"/>
    </row>
    <row r="42" spans="2:3" x14ac:dyDescent="0.25">
      <c r="B42" s="236" t="s">
        <v>198</v>
      </c>
      <c r="C42" s="238" t="s">
        <v>352</v>
      </c>
    </row>
    <row r="43" spans="2:3" x14ac:dyDescent="0.25">
      <c r="B43" s="236" t="s">
        <v>79</v>
      </c>
      <c r="C43" s="238" t="s">
        <v>353</v>
      </c>
    </row>
    <row r="44" spans="2:3" x14ac:dyDescent="0.25">
      <c r="B44" s="391" t="s">
        <v>354</v>
      </c>
      <c r="C44" s="391"/>
    </row>
    <row r="45" spans="2:3" x14ac:dyDescent="0.25">
      <c r="B45" s="236" t="s">
        <v>355</v>
      </c>
      <c r="C45" s="238" t="s">
        <v>357</v>
      </c>
    </row>
    <row r="46" spans="2:3" x14ac:dyDescent="0.25">
      <c r="B46" s="236" t="s">
        <v>5</v>
      </c>
      <c r="C46" s="238" t="s">
        <v>356</v>
      </c>
    </row>
    <row r="47" spans="2:3" x14ac:dyDescent="0.25">
      <c r="B47" s="391" t="s">
        <v>67</v>
      </c>
      <c r="C47" s="391"/>
    </row>
    <row r="48" spans="2:3" x14ac:dyDescent="0.25">
      <c r="B48" s="18" t="s">
        <v>237</v>
      </c>
      <c r="C48" s="239" t="s">
        <v>267</v>
      </c>
    </row>
    <row r="49" spans="2:3" x14ac:dyDescent="0.25">
      <c r="B49" s="18" t="s">
        <v>224</v>
      </c>
      <c r="C49" s="239" t="s">
        <v>264</v>
      </c>
    </row>
    <row r="50" spans="2:3" x14ac:dyDescent="0.25">
      <c r="B50" s="18" t="s">
        <v>225</v>
      </c>
      <c r="C50" s="239" t="s">
        <v>265</v>
      </c>
    </row>
    <row r="51" spans="2:3" x14ac:dyDescent="0.25">
      <c r="B51" s="18" t="s">
        <v>226</v>
      </c>
      <c r="C51" s="239" t="s">
        <v>266</v>
      </c>
    </row>
    <row r="52" spans="2:3" x14ac:dyDescent="0.25">
      <c r="B52" s="18" t="s">
        <v>234</v>
      </c>
      <c r="C52" s="239" t="s">
        <v>235</v>
      </c>
    </row>
    <row r="53" spans="2:3" x14ac:dyDescent="0.25">
      <c r="B53" s="18" t="s">
        <v>201</v>
      </c>
      <c r="C53" s="239" t="s">
        <v>236</v>
      </c>
    </row>
    <row r="54" spans="2:3" x14ac:dyDescent="0.25">
      <c r="B54" s="391" t="s">
        <v>31</v>
      </c>
      <c r="C54" s="391"/>
    </row>
    <row r="55" spans="2:3" x14ac:dyDescent="0.25">
      <c r="B55" s="236" t="s">
        <v>237</v>
      </c>
      <c r="C55" s="239" t="s">
        <v>238</v>
      </c>
    </row>
    <row r="56" spans="2:3" x14ac:dyDescent="0.25">
      <c r="B56" s="236" t="s">
        <v>234</v>
      </c>
      <c r="C56" s="239" t="s">
        <v>239</v>
      </c>
    </row>
    <row r="57" spans="2:3" x14ac:dyDescent="0.25">
      <c r="B57" s="236" t="s">
        <v>201</v>
      </c>
      <c r="C57" s="239" t="s">
        <v>240</v>
      </c>
    </row>
    <row r="58" spans="2:3" x14ac:dyDescent="0.25">
      <c r="B58" s="391" t="s">
        <v>118</v>
      </c>
      <c r="C58" s="391"/>
    </row>
    <row r="59" spans="2:3" x14ac:dyDescent="0.25">
      <c r="B59" s="18" t="s">
        <v>237</v>
      </c>
      <c r="C59" s="239" t="s">
        <v>243</v>
      </c>
    </row>
    <row r="60" spans="2:3" x14ac:dyDescent="0.25">
      <c r="B60" s="18" t="s">
        <v>224</v>
      </c>
      <c r="C60" s="239" t="s">
        <v>244</v>
      </c>
    </row>
    <row r="61" spans="2:3" x14ac:dyDescent="0.25">
      <c r="B61" s="18" t="s">
        <v>225</v>
      </c>
      <c r="C61" s="239" t="s">
        <v>245</v>
      </c>
    </row>
    <row r="62" spans="2:3" x14ac:dyDescent="0.25">
      <c r="B62" s="18" t="s">
        <v>226</v>
      </c>
      <c r="C62" s="239" t="s">
        <v>246</v>
      </c>
    </row>
    <row r="63" spans="2:3" x14ac:dyDescent="0.25">
      <c r="B63" s="18" t="s">
        <v>234</v>
      </c>
      <c r="C63" s="239" t="s">
        <v>241</v>
      </c>
    </row>
    <row r="64" spans="2:3" x14ac:dyDescent="0.25">
      <c r="B64" s="18" t="s">
        <v>201</v>
      </c>
      <c r="C64" s="239" t="s">
        <v>242</v>
      </c>
    </row>
    <row r="65" spans="2:3" x14ac:dyDescent="0.25">
      <c r="B65" s="391" t="s">
        <v>119</v>
      </c>
      <c r="C65" s="391"/>
    </row>
    <row r="66" spans="2:3" x14ac:dyDescent="0.25">
      <c r="B66" s="18" t="s">
        <v>234</v>
      </c>
      <c r="C66" s="241" t="s">
        <v>247</v>
      </c>
    </row>
    <row r="67" spans="2:3" x14ac:dyDescent="0.25">
      <c r="B67" s="112" t="s">
        <v>201</v>
      </c>
      <c r="C67" s="240" t="s">
        <v>248</v>
      </c>
    </row>
    <row r="68" spans="2:3" x14ac:dyDescent="0.25">
      <c r="B68" s="391" t="s">
        <v>284</v>
      </c>
      <c r="C68" s="391"/>
    </row>
    <row r="69" spans="2:3" x14ac:dyDescent="0.25">
      <c r="B69" s="18" t="s">
        <v>298</v>
      </c>
      <c r="C69" s="241" t="s">
        <v>287</v>
      </c>
    </row>
    <row r="70" spans="2:3" x14ac:dyDescent="0.25">
      <c r="B70" s="112" t="s">
        <v>201</v>
      </c>
      <c r="C70" s="240" t="s">
        <v>286</v>
      </c>
    </row>
  </sheetData>
  <mergeCells count="16">
    <mergeCell ref="B2:C2"/>
    <mergeCell ref="B8:C8"/>
    <mergeCell ref="B14:C14"/>
    <mergeCell ref="B16:C16"/>
    <mergeCell ref="B54:C54"/>
    <mergeCell ref="B58:C58"/>
    <mergeCell ref="B65:C65"/>
    <mergeCell ref="B68:C68"/>
    <mergeCell ref="B19:C19"/>
    <mergeCell ref="B32:C32"/>
    <mergeCell ref="B41:C41"/>
    <mergeCell ref="B29:C29"/>
    <mergeCell ref="B44:C44"/>
    <mergeCell ref="B47:C47"/>
    <mergeCell ref="B35:C35"/>
    <mergeCell ref="B38:C3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Techno-Economic Analysis</vt:lpstr>
      <vt:lpstr>Cost Target Evaluation</vt:lpstr>
      <vt:lpstr>Tables in Paper</vt:lpstr>
      <vt:lpstr>Figures in Paper</vt:lpstr>
      <vt:lpstr>Life Cycle Assessment Data</vt:lpstr>
      <vt:lpstr>Social Costs of GHGs</vt:lpstr>
      <vt:lpstr>Model Descriptions</vt:lpstr>
      <vt:lpstr>baseline_biogas_cost</vt:lpstr>
      <vt:lpstr>baseline_ccs_capital_cost</vt:lpstr>
      <vt:lpstr>baseline_ccs_heat_rate</vt:lpstr>
      <vt:lpstr>bio_production_cost</vt:lpstr>
      <vt:lpstr>biogas_cost</vt:lpstr>
      <vt:lpstr>capacity_factor</vt:lpstr>
      <vt:lpstr>CCS_capital_baseline</vt:lpstr>
      <vt:lpstr>ccs_capital_cost</vt:lpstr>
      <vt:lpstr>ccs_variable_cost</vt:lpstr>
      <vt:lpstr>ch4_gwp</vt:lpstr>
      <vt:lpstr>custom_ccs_capital_cost</vt:lpstr>
      <vt:lpstr>electricity_price</vt:lpstr>
      <vt:lpstr>embedded_emissions_cost</vt:lpstr>
      <vt:lpstr>emissions_cost_gases</vt:lpstr>
      <vt:lpstr>flat_biogas_cost</vt:lpstr>
      <vt:lpstr>flat_capacity_factor</vt:lpstr>
      <vt:lpstr>flat_electricity_price</vt:lpstr>
      <vt:lpstr>flat_ghg_cost</vt:lpstr>
      <vt:lpstr>flat_natural_gas_cost</vt:lpstr>
      <vt:lpstr>fuel_energy_density</vt:lpstr>
      <vt:lpstr>fuel_energy_per_mass</vt:lpstr>
      <vt:lpstr>ghg_costs</vt:lpstr>
      <vt:lpstr>heat_rate</vt:lpstr>
      <vt:lpstr>heat_rate_CCS</vt:lpstr>
      <vt:lpstr>ignore_past_costs</vt:lpstr>
      <vt:lpstr>n2o_gwp</vt:lpstr>
      <vt:lpstr>natural_gas_cost</vt:lpstr>
      <vt:lpstr>ng_combustion_cost</vt:lpstr>
      <vt:lpstr>ng_production_cost</vt:lpstr>
      <vt:lpstr>npv</vt:lpstr>
      <vt:lpstr>npv_summary</vt:lpstr>
      <vt:lpstr>one_biogas_result</vt:lpstr>
      <vt:lpstr>one_fuel_type</vt:lpstr>
      <vt:lpstr>one_npv_summary_biogas</vt:lpstr>
      <vt:lpstr>one_npv_summary_biogas_ccs</vt:lpstr>
      <vt:lpstr>one_npv_summary_normal</vt:lpstr>
      <vt:lpstr>one_npv_summary_normal_ccs</vt:lpstr>
      <vt:lpstr>one_npv_summary_shutdown</vt:lpstr>
      <vt:lpstr>pathway</vt:lpstr>
      <vt:lpstr>result</vt:lpstr>
      <vt:lpstr>result_type</vt:lpstr>
      <vt:lpstr>result_unit</vt:lpstr>
      <vt:lpstr>seq_credit</vt:lpstr>
      <vt:lpstr>type</vt:lpstr>
      <vt:lpstr>year_of_decision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Evan Sproul</cp:lastModifiedBy>
  <dcterms:created xsi:type="dcterms:W3CDTF">2018-04-02T18:27:02Z</dcterms:created>
  <dcterms:modified xsi:type="dcterms:W3CDTF">2020-09-21T14:50:17Z</dcterms:modified>
</cp:coreProperties>
</file>